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2116" windowHeight="9552"/>
  </bookViews>
  <sheets>
    <sheet name="IA_database__entrenamiento _pru" sheetId="1" r:id="rId1"/>
  </sheets>
  <externalReferences>
    <externalReference r:id="rId2"/>
  </externalReferences>
  <definedNames>
    <definedName name="_xlnm._FilterDatabase" localSheetId="0" hidden="1">'IA_database__entrenamiento _pru'!$A$1:$W$591</definedName>
  </definedNames>
  <calcPr calcId="145621"/>
</workbook>
</file>

<file path=xl/calcChain.xml><?xml version="1.0" encoding="utf-8"?>
<calcChain xmlns="http://schemas.openxmlformats.org/spreadsheetml/2006/main">
  <c r="AA2" i="1" l="1"/>
  <c r="AA3" i="1"/>
  <c r="AA4" i="1" s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Y591" i="1" l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B591" i="1" l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<sst xmlns="http://schemas.openxmlformats.org/spreadsheetml/2006/main" count="3137" uniqueCount="49">
  <si>
    <t>Pachuca</t>
  </si>
  <si>
    <t>Puebla</t>
  </si>
  <si>
    <t>Toluca</t>
  </si>
  <si>
    <t>Monterrey</t>
  </si>
  <si>
    <t>Necaxa</t>
  </si>
  <si>
    <t>Atlas</t>
  </si>
  <si>
    <t>año</t>
  </si>
  <si>
    <t>marcador local</t>
  </si>
  <si>
    <t>equipo local</t>
  </si>
  <si>
    <t>marcador visitante</t>
  </si>
  <si>
    <t>Cruz Azul</t>
  </si>
  <si>
    <t>Santos Laguna</t>
  </si>
  <si>
    <t>equipo visitante</t>
  </si>
  <si>
    <t>resultado</t>
  </si>
  <si>
    <t>América</t>
  </si>
  <si>
    <t>Atlético San Luis</t>
  </si>
  <si>
    <t>Pumas</t>
  </si>
  <si>
    <t>Tigres</t>
  </si>
  <si>
    <t>Juarez</t>
  </si>
  <si>
    <t>Xolos</t>
  </si>
  <si>
    <t>Mazatlán</t>
  </si>
  <si>
    <t>Chivas</t>
  </si>
  <si>
    <t>Querétaro</t>
  </si>
  <si>
    <t>llave año-equipo local</t>
  </si>
  <si>
    <t>llave año-equipo visitante</t>
  </si>
  <si>
    <t>Total Mercado (€ M) local</t>
  </si>
  <si>
    <t>Portero (€ M) local</t>
  </si>
  <si>
    <t>Defensa (€ M) local</t>
  </si>
  <si>
    <t>Mediocampo (€ M) local</t>
  </si>
  <si>
    <t>Delantera (€ M)  local</t>
  </si>
  <si>
    <t>Total Mercado (€ M) visita</t>
  </si>
  <si>
    <t>Portero (€ M) visita</t>
  </si>
  <si>
    <t>Defensa (€ M) visita</t>
  </si>
  <si>
    <t>Mediocampo (€ M) visita</t>
  </si>
  <si>
    <t>Delantera (€ M)  visita</t>
  </si>
  <si>
    <t xml:space="preserve">% Ganado Visita </t>
  </si>
  <si>
    <t>León</t>
  </si>
  <si>
    <t>NULL</t>
  </si>
  <si>
    <t>gana local</t>
  </si>
  <si>
    <t>empate</t>
  </si>
  <si>
    <t>gana visitante</t>
  </si>
  <si>
    <t>Dominancia en puntos local</t>
  </si>
  <si>
    <t>Dominancia en puntos visita</t>
  </si>
  <si>
    <t>% derrota local</t>
  </si>
  <si>
    <t>% Derrota Visitante</t>
  </si>
  <si>
    <t>% Ganado local</t>
  </si>
  <si>
    <t>% Emape Casa local</t>
  </si>
  <si>
    <t xml:space="preserve">% Empate Visita 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</si>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</sst>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22222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 wrapText="1"/>
    </xf>
    <xf numFmtId="0" fontId="18" fillId="35" borderId="0" xfId="0" applyFont="1" applyFill="1" applyAlignment="1">
      <alignment horizontal="center" vertical="center" wrapText="1"/>
    </xf>
    <xf numFmtId="9" fontId="0" fillId="0" borderId="0" xfId="42" applyFont="1" applyAlignment="1">
      <alignment horizontal="center"/>
    </xf>
    <xf numFmtId="0" fontId="18" fillId="36" borderId="0" xfId="0" applyFont="1" applyFill="1" applyAlignment="1">
      <alignment horizontal="center" vertical="center" wrapText="1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0" borderId="0" xfId="42" applyNumberFormat="1" applyFont="1" applyAlignment="1">
      <alignment horizontal="center"/>
    </xf>
    <xf numFmtId="0" fontId="0" fillId="0" borderId="0" xfId="43" applyNumberFormat="1" applyFont="1" applyAlignment="1">
      <alignment horizontal="center"/>
    </xf>
    <xf numFmtId="0" fontId="0" fillId="37" borderId="0" xfId="0" applyFill="1"/>
    <xf numFmtId="0" fontId="0" fillId="37" borderId="0" xfId="0" applyFill="1" applyAlignment="1">
      <alignment horizontal="center"/>
    </xf>
    <xf numFmtId="9" fontId="0" fillId="37" borderId="0" xfId="42" applyFont="1" applyFill="1" applyAlignment="1">
      <alignment horizontal="center"/>
    </xf>
    <xf numFmtId="0" fontId="0" fillId="37" borderId="0" xfId="42" applyNumberFormat="1" applyFont="1" applyFill="1" applyAlignment="1">
      <alignment horizontal="center"/>
    </xf>
    <xf numFmtId="0" fontId="0" fillId="37" borderId="0" xfId="43" applyNumberFormat="1" applyFont="1" applyFill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3" builtinId="3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untos%20historicos%20liga%20mx%20202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co puntos 2022-2025"/>
      <sheetName val="fuentes"/>
    </sheetNames>
    <sheetDataSet>
      <sheetData sheetId="0">
        <row r="2">
          <cell r="A2" t="str">
            <v>América</v>
          </cell>
          <cell r="B2" t="str">
            <v>CF América</v>
          </cell>
          <cell r="C2">
            <v>69</v>
          </cell>
          <cell r="D2">
            <v>37</v>
          </cell>
          <cell r="E2">
            <v>22</v>
          </cell>
          <cell r="F2">
            <v>10</v>
          </cell>
          <cell r="G2">
            <v>133</v>
          </cell>
        </row>
        <row r="3">
          <cell r="A3" t="str">
            <v>Toluca</v>
          </cell>
          <cell r="B3" t="str">
            <v>Deportivo Toluca FC</v>
          </cell>
          <cell r="C3">
            <v>63</v>
          </cell>
          <cell r="D3">
            <v>33</v>
          </cell>
          <cell r="E3">
            <v>19</v>
          </cell>
          <cell r="F3">
            <v>11</v>
          </cell>
          <cell r="G3">
            <v>118</v>
          </cell>
        </row>
        <row r="4">
          <cell r="A4" t="str">
            <v>Monterrey</v>
          </cell>
          <cell r="B4" t="str">
            <v>CF Monterrey</v>
          </cell>
          <cell r="C4">
            <v>63</v>
          </cell>
          <cell r="D4">
            <v>35</v>
          </cell>
          <cell r="E4">
            <v>13</v>
          </cell>
          <cell r="F4">
            <v>15</v>
          </cell>
          <cell r="G4">
            <v>118</v>
          </cell>
        </row>
        <row r="5">
          <cell r="A5" t="str">
            <v>Tigres</v>
          </cell>
          <cell r="B5" t="str">
            <v>Tigres UANL</v>
          </cell>
          <cell r="C5">
            <v>64</v>
          </cell>
          <cell r="D5">
            <v>30</v>
          </cell>
          <cell r="E5">
            <v>17</v>
          </cell>
          <cell r="F5">
            <v>17</v>
          </cell>
          <cell r="G5">
            <v>107</v>
          </cell>
        </row>
        <row r="6">
          <cell r="A6" t="str">
            <v>Cruz Azul</v>
          </cell>
          <cell r="B6" t="str">
            <v>CD Cruz Azul</v>
          </cell>
          <cell r="C6">
            <v>63</v>
          </cell>
          <cell r="D6">
            <v>31</v>
          </cell>
          <cell r="E6">
            <v>14</v>
          </cell>
          <cell r="F6">
            <v>18</v>
          </cell>
          <cell r="G6">
            <v>107</v>
          </cell>
        </row>
        <row r="7">
          <cell r="A7" t="str">
            <v>Chivas</v>
          </cell>
          <cell r="B7" t="str">
            <v>CD Guadalajara</v>
          </cell>
          <cell r="C7">
            <v>62</v>
          </cell>
          <cell r="D7">
            <v>27</v>
          </cell>
          <cell r="E7">
            <v>18</v>
          </cell>
          <cell r="F7">
            <v>17</v>
          </cell>
          <cell r="G7">
            <v>99</v>
          </cell>
        </row>
        <row r="8">
          <cell r="A8" t="str">
            <v>Pachuca</v>
          </cell>
          <cell r="B8" t="str">
            <v>CF Pachuca</v>
          </cell>
          <cell r="C8">
            <v>61</v>
          </cell>
          <cell r="D8">
            <v>29</v>
          </cell>
          <cell r="E8">
            <v>11</v>
          </cell>
          <cell r="F8">
            <v>21</v>
          </cell>
          <cell r="G8">
            <v>98</v>
          </cell>
        </row>
        <row r="9">
          <cell r="A9" t="str">
            <v>León</v>
          </cell>
          <cell r="B9" t="str">
            <v>Club León FC</v>
          </cell>
          <cell r="C9">
            <v>55</v>
          </cell>
          <cell r="D9">
            <v>25</v>
          </cell>
          <cell r="E9">
            <v>12</v>
          </cell>
          <cell r="F9">
            <v>18</v>
          </cell>
          <cell r="G9">
            <v>87</v>
          </cell>
        </row>
        <row r="10">
          <cell r="A10" t="str">
            <v>Necaxa</v>
          </cell>
          <cell r="B10" t="str">
            <v>Club Necaxa</v>
          </cell>
          <cell r="C10">
            <v>56</v>
          </cell>
          <cell r="D10">
            <v>21</v>
          </cell>
          <cell r="E10">
            <v>14</v>
          </cell>
          <cell r="F10">
            <v>21</v>
          </cell>
          <cell r="G10">
            <v>77</v>
          </cell>
        </row>
        <row r="11">
          <cell r="A11" t="str">
            <v>Pumas</v>
          </cell>
          <cell r="B11" t="str">
            <v>Pumas UNAM</v>
          </cell>
          <cell r="C11">
            <v>58</v>
          </cell>
          <cell r="D11">
            <v>20</v>
          </cell>
          <cell r="E11">
            <v>15</v>
          </cell>
          <cell r="F11">
            <v>23</v>
          </cell>
          <cell r="G11">
            <v>75</v>
          </cell>
        </row>
        <row r="12">
          <cell r="A12" t="str">
            <v>Querétaro</v>
          </cell>
          <cell r="B12" t="str">
            <v>Querétaro FC</v>
          </cell>
          <cell r="C12">
            <v>52</v>
          </cell>
          <cell r="D12">
            <v>16</v>
          </cell>
          <cell r="E12">
            <v>16</v>
          </cell>
          <cell r="F12">
            <v>20</v>
          </cell>
          <cell r="G12">
            <v>64</v>
          </cell>
        </row>
        <row r="13">
          <cell r="A13" t="str">
            <v>Atlas</v>
          </cell>
          <cell r="B13" t="str">
            <v>Atlas Guadalajara</v>
          </cell>
          <cell r="C13">
            <v>55</v>
          </cell>
          <cell r="D13">
            <v>13</v>
          </cell>
          <cell r="E13">
            <v>21</v>
          </cell>
          <cell r="F13">
            <v>21</v>
          </cell>
          <cell r="G13">
            <v>60</v>
          </cell>
        </row>
        <row r="14">
          <cell r="A14" t="str">
            <v>Atlético San Luis</v>
          </cell>
          <cell r="B14" t="str">
            <v>Atlético de San Luis</v>
          </cell>
          <cell r="C14">
            <v>54</v>
          </cell>
          <cell r="D14">
            <v>18</v>
          </cell>
          <cell r="E14">
            <v>5</v>
          </cell>
          <cell r="F14">
            <v>31</v>
          </cell>
          <cell r="G14">
            <v>59</v>
          </cell>
        </row>
        <row r="15">
          <cell r="A15" t="str">
            <v>Juarez</v>
          </cell>
          <cell r="B15" t="str">
            <v>FC Juárez</v>
          </cell>
          <cell r="C15">
            <v>52</v>
          </cell>
          <cell r="D15">
            <v>13</v>
          </cell>
          <cell r="E15">
            <v>16</v>
          </cell>
          <cell r="F15">
            <v>23</v>
          </cell>
          <cell r="G15">
            <v>55</v>
          </cell>
        </row>
        <row r="16">
          <cell r="A16" t="str">
            <v>Xolos</v>
          </cell>
          <cell r="B16" t="str">
            <v>Club Tijuana</v>
          </cell>
          <cell r="C16">
            <v>51</v>
          </cell>
          <cell r="D16">
            <v>11</v>
          </cell>
          <cell r="E16">
            <v>16</v>
          </cell>
          <cell r="F16">
            <v>24</v>
          </cell>
          <cell r="G16">
            <v>49</v>
          </cell>
        </row>
        <row r="17">
          <cell r="A17" t="str">
            <v>Santos Laguna</v>
          </cell>
          <cell r="B17" t="str">
            <v>Santos Laguna</v>
          </cell>
          <cell r="C17">
            <v>55</v>
          </cell>
          <cell r="D17">
            <v>12</v>
          </cell>
          <cell r="E17">
            <v>10</v>
          </cell>
          <cell r="F17">
            <v>33</v>
          </cell>
          <cell r="G17">
            <v>46</v>
          </cell>
        </row>
        <row r="18">
          <cell r="A18" t="str">
            <v>Mazatlán</v>
          </cell>
          <cell r="B18" t="str">
            <v>Mazatlán FC</v>
          </cell>
          <cell r="C18">
            <v>51</v>
          </cell>
          <cell r="D18">
            <v>10</v>
          </cell>
          <cell r="E18">
            <v>10</v>
          </cell>
          <cell r="F18">
            <v>31</v>
          </cell>
          <cell r="G18">
            <v>40</v>
          </cell>
        </row>
        <row r="19">
          <cell r="A19" t="str">
            <v>Puebla</v>
          </cell>
          <cell r="B19" t="str">
            <v>Club Puebla</v>
          </cell>
          <cell r="C19">
            <v>52</v>
          </cell>
          <cell r="D19">
            <v>9</v>
          </cell>
          <cell r="E19">
            <v>7</v>
          </cell>
          <cell r="F19">
            <v>36</v>
          </cell>
          <cell r="G19">
            <v>34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591"/>
  <sheetViews>
    <sheetView tabSelected="1" topLeftCell="C1" workbookViewId="0">
      <pane ySplit="1" topLeftCell="A24" activePane="bottomLeft" state="frozen"/>
      <selection pane="bottomLeft" activeCell="H24" sqref="H24"/>
    </sheetView>
  </sheetViews>
  <sheetFormatPr baseColWidth="10" defaultRowHeight="14.4" x14ac:dyDescent="0.3"/>
  <cols>
    <col min="2" max="2" width="26" customWidth="1"/>
    <col min="5" max="5" width="13.21875" bestFit="1" customWidth="1"/>
    <col min="6" max="6" width="16.33203125" bestFit="1" customWidth="1"/>
    <col min="7" max="7" width="18" bestFit="1" customWidth="1"/>
    <col min="12" max="12" width="11" bestFit="1" customWidth="1"/>
    <col min="13" max="13" width="11" customWidth="1"/>
    <col min="14" max="16" width="11.6640625" customWidth="1"/>
  </cols>
  <sheetData>
    <row r="1" spans="1:27" ht="62.4" x14ac:dyDescent="0.3">
      <c r="A1" s="3" t="s">
        <v>23</v>
      </c>
      <c r="B1" s="3" t="s">
        <v>24</v>
      </c>
      <c r="C1" s="3" t="s">
        <v>6</v>
      </c>
      <c r="D1" s="3" t="s">
        <v>8</v>
      </c>
      <c r="E1" s="3" t="s">
        <v>7</v>
      </c>
      <c r="F1" s="3" t="s">
        <v>9</v>
      </c>
      <c r="G1" s="3" t="s">
        <v>12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45</v>
      </c>
      <c r="N1" s="4" t="s">
        <v>46</v>
      </c>
      <c r="O1" s="4" t="s">
        <v>43</v>
      </c>
      <c r="P1" s="4" t="s">
        <v>41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47</v>
      </c>
      <c r="X1" s="5" t="s">
        <v>44</v>
      </c>
      <c r="Y1" s="5" t="s">
        <v>42</v>
      </c>
      <c r="Z1" s="7" t="s">
        <v>13</v>
      </c>
      <c r="AA1" s="5" t="s">
        <v>48</v>
      </c>
    </row>
    <row r="2" spans="1:27" hidden="1" x14ac:dyDescent="0.3">
      <c r="A2" t="str">
        <f>C2&amp;"-"&amp;D2</f>
        <v>2024-América</v>
      </c>
      <c r="B2" t="str">
        <f>C2&amp;"-"&amp;G2</f>
        <v>2024-Cruz Azul</v>
      </c>
      <c r="C2">
        <v>2024</v>
      </c>
      <c r="D2" t="s">
        <v>14</v>
      </c>
      <c r="E2" s="2">
        <v>1</v>
      </c>
      <c r="F2" s="2">
        <v>0</v>
      </c>
      <c r="G2" t="s">
        <v>10</v>
      </c>
      <c r="H2">
        <v>92.45</v>
      </c>
      <c r="I2">
        <v>9.25</v>
      </c>
      <c r="J2">
        <v>27.73</v>
      </c>
      <c r="K2">
        <v>27.73</v>
      </c>
      <c r="L2">
        <v>27.73</v>
      </c>
      <c r="M2" s="6">
        <v>0.65217391304347827</v>
      </c>
      <c r="N2" s="6">
        <v>0.21739130434782608</v>
      </c>
      <c r="O2" s="6">
        <v>0.22</v>
      </c>
      <c r="P2" s="10">
        <v>133</v>
      </c>
      <c r="Q2">
        <v>78.849999999999994</v>
      </c>
      <c r="R2">
        <v>7.89</v>
      </c>
      <c r="S2">
        <v>23.66</v>
      </c>
      <c r="T2">
        <v>23.66</v>
      </c>
      <c r="U2">
        <v>23.66</v>
      </c>
      <c r="V2" s="6">
        <v>0.52380952380952384</v>
      </c>
      <c r="W2" s="6">
        <v>0.23809523809523808</v>
      </c>
      <c r="X2" s="6">
        <v>0.23809523809523808</v>
      </c>
      <c r="Y2" s="11">
        <f>VLOOKUP(G2,'[1]historico puntos 2022-2025'!$A$2:$G$19,7,0)</f>
        <v>107</v>
      </c>
      <c r="Z2" t="s">
        <v>38</v>
      </c>
      <c r="AA2">
        <f>0</f>
        <v>0</v>
      </c>
    </row>
    <row r="3" spans="1:27" hidden="1" x14ac:dyDescent="0.3">
      <c r="A3" t="str">
        <f t="shared" ref="A3:A66" si="0">C3&amp;"-"&amp;D3</f>
        <v>2024-Cruz Azul</v>
      </c>
      <c r="B3" t="str">
        <f t="shared" ref="B3:B66" si="1">C3&amp;"-"&amp;G3</f>
        <v>2024-América</v>
      </c>
      <c r="C3">
        <v>2024</v>
      </c>
      <c r="D3" t="s">
        <v>10</v>
      </c>
      <c r="E3" s="2">
        <v>1</v>
      </c>
      <c r="F3" s="2">
        <v>1</v>
      </c>
      <c r="G3" t="s">
        <v>14</v>
      </c>
      <c r="H3">
        <v>78.849999999999994</v>
      </c>
      <c r="I3">
        <v>7.89</v>
      </c>
      <c r="J3">
        <v>23.66</v>
      </c>
      <c r="K3">
        <v>23.66</v>
      </c>
      <c r="L3">
        <v>23.66</v>
      </c>
      <c r="M3" s="6">
        <v>0.7142857142857143</v>
      </c>
      <c r="N3" s="6">
        <v>0.23809523809523808</v>
      </c>
      <c r="O3" s="6">
        <v>4.7619047619047616E-2</v>
      </c>
      <c r="P3" s="10">
        <v>107</v>
      </c>
      <c r="Q3">
        <v>92.45</v>
      </c>
      <c r="R3">
        <v>9.25</v>
      </c>
      <c r="S3">
        <v>27.73</v>
      </c>
      <c r="T3">
        <v>27.73</v>
      </c>
      <c r="U3">
        <v>27.73</v>
      </c>
      <c r="V3" s="6">
        <v>0.375</v>
      </c>
      <c r="W3" s="6">
        <v>0.29166666666666669</v>
      </c>
      <c r="X3" s="6">
        <v>0.33333333333333331</v>
      </c>
      <c r="Y3" s="11">
        <f>VLOOKUP(G3,'[1]historico puntos 2022-2025'!$A$2:$G$19,7,0)</f>
        <v>133</v>
      </c>
      <c r="Z3" t="s">
        <v>39</v>
      </c>
      <c r="AA3">
        <f>AA2+1</f>
        <v>1</v>
      </c>
    </row>
    <row r="4" spans="1:27" hidden="1" x14ac:dyDescent="0.3">
      <c r="A4" t="str">
        <f t="shared" si="0"/>
        <v>2024-América</v>
      </c>
      <c r="B4" t="str">
        <f t="shared" si="1"/>
        <v>2024-Chivas</v>
      </c>
      <c r="C4">
        <v>2024</v>
      </c>
      <c r="D4" t="s">
        <v>14</v>
      </c>
      <c r="E4" s="2">
        <v>1</v>
      </c>
      <c r="F4" s="2">
        <v>0</v>
      </c>
      <c r="G4" t="s">
        <v>21</v>
      </c>
      <c r="H4">
        <v>92.45</v>
      </c>
      <c r="I4">
        <v>9.25</v>
      </c>
      <c r="J4">
        <v>27.73</v>
      </c>
      <c r="K4">
        <v>27.73</v>
      </c>
      <c r="L4">
        <v>27.73</v>
      </c>
      <c r="M4" s="6">
        <v>0.65217391304347827</v>
      </c>
      <c r="N4" s="6">
        <v>0.21739130434782608</v>
      </c>
      <c r="O4" s="6">
        <v>0.13043478260869565</v>
      </c>
      <c r="P4" s="10">
        <v>133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s="6">
        <v>0.23529411764705882</v>
      </c>
      <c r="W4" s="6">
        <v>0.23529411764705882</v>
      </c>
      <c r="X4" s="6">
        <v>0.52941176470588236</v>
      </c>
      <c r="Y4" s="11">
        <f>VLOOKUP(G4,'[1]historico puntos 2022-2025'!$A$2:$G$19,7,0)</f>
        <v>99</v>
      </c>
      <c r="Z4" t="s">
        <v>38</v>
      </c>
      <c r="AA4">
        <f t="shared" ref="AA4:AA67" si="2">AA3+1</f>
        <v>2</v>
      </c>
    </row>
    <row r="5" spans="1:27" hidden="1" x14ac:dyDescent="0.3">
      <c r="A5" t="str">
        <f t="shared" si="0"/>
        <v>2024-Chivas</v>
      </c>
      <c r="B5" t="str">
        <f t="shared" si="1"/>
        <v>2024-América</v>
      </c>
      <c r="C5">
        <v>2024</v>
      </c>
      <c r="D5" t="s">
        <v>21</v>
      </c>
      <c r="E5" s="2">
        <v>0</v>
      </c>
      <c r="F5" s="2">
        <v>0</v>
      </c>
      <c r="G5" t="s">
        <v>14</v>
      </c>
      <c r="H5">
        <v>70.2</v>
      </c>
      <c r="I5">
        <v>7.02</v>
      </c>
      <c r="J5">
        <v>21.06</v>
      </c>
      <c r="K5">
        <v>21.06</v>
      </c>
      <c r="L5">
        <v>21.06</v>
      </c>
      <c r="M5" s="6">
        <v>0.44444444444444442</v>
      </c>
      <c r="N5" s="6">
        <v>0.33333333333333331</v>
      </c>
      <c r="O5" s="6">
        <v>0.22222222222222221</v>
      </c>
      <c r="P5" s="10">
        <v>99</v>
      </c>
      <c r="Q5">
        <v>92.45</v>
      </c>
      <c r="R5">
        <v>9.25</v>
      </c>
      <c r="S5">
        <v>27.73</v>
      </c>
      <c r="T5">
        <v>27.73</v>
      </c>
      <c r="U5">
        <v>27.73</v>
      </c>
      <c r="V5" s="6">
        <v>0.375</v>
      </c>
      <c r="W5" s="6">
        <v>0.29166666666666669</v>
      </c>
      <c r="X5" s="6">
        <v>0.33333333333333331</v>
      </c>
      <c r="Y5" s="11">
        <f>VLOOKUP(G5,'[1]historico puntos 2022-2025'!$A$2:$G$19,7,0)</f>
        <v>133</v>
      </c>
      <c r="Z5" t="s">
        <v>39</v>
      </c>
      <c r="AA5">
        <f t="shared" si="2"/>
        <v>3</v>
      </c>
    </row>
    <row r="6" spans="1:27" hidden="1" x14ac:dyDescent="0.3">
      <c r="A6" t="str">
        <f t="shared" si="0"/>
        <v>2024-América</v>
      </c>
      <c r="B6" t="str">
        <f t="shared" si="1"/>
        <v>2024-Pachuca</v>
      </c>
      <c r="C6">
        <v>2024</v>
      </c>
      <c r="D6" t="s">
        <v>14</v>
      </c>
      <c r="E6" s="2">
        <v>1</v>
      </c>
      <c r="F6" s="2">
        <v>1</v>
      </c>
      <c r="G6" t="s">
        <v>0</v>
      </c>
      <c r="H6">
        <v>92.45</v>
      </c>
      <c r="I6">
        <v>9.25</v>
      </c>
      <c r="J6">
        <v>27.73</v>
      </c>
      <c r="K6">
        <v>27.73</v>
      </c>
      <c r="L6">
        <v>27.73</v>
      </c>
      <c r="M6" s="6">
        <v>0.65217391304347827</v>
      </c>
      <c r="N6" s="6">
        <v>0.21739130434782608</v>
      </c>
      <c r="O6" s="6">
        <v>0.13043478260869565</v>
      </c>
      <c r="P6" s="10">
        <v>133</v>
      </c>
      <c r="Q6">
        <v>56.6</v>
      </c>
      <c r="R6">
        <v>5.66</v>
      </c>
      <c r="S6">
        <v>16.98</v>
      </c>
      <c r="T6">
        <v>16.98</v>
      </c>
      <c r="U6">
        <v>16.98</v>
      </c>
      <c r="V6" s="6">
        <v>0.26315789473684209</v>
      </c>
      <c r="W6" s="6">
        <v>0.15789473684210525</v>
      </c>
      <c r="X6" s="6">
        <v>0.57894736842105265</v>
      </c>
      <c r="Y6" s="11">
        <f>VLOOKUP(G6,'[1]historico puntos 2022-2025'!$A$2:$G$19,7,0)</f>
        <v>98</v>
      </c>
      <c r="Z6" t="s">
        <v>39</v>
      </c>
      <c r="AA6">
        <f t="shared" si="2"/>
        <v>4</v>
      </c>
    </row>
    <row r="7" spans="1:27" hidden="1" x14ac:dyDescent="0.3">
      <c r="A7" t="str">
        <f t="shared" si="0"/>
        <v>2024-Pachuca</v>
      </c>
      <c r="B7" t="str">
        <f t="shared" si="1"/>
        <v>2024-América</v>
      </c>
      <c r="C7">
        <v>2024</v>
      </c>
      <c r="D7" t="s">
        <v>0</v>
      </c>
      <c r="E7" s="2">
        <v>1</v>
      </c>
      <c r="F7" s="2">
        <v>1</v>
      </c>
      <c r="G7" t="s">
        <v>14</v>
      </c>
      <c r="H7">
        <v>56.6</v>
      </c>
      <c r="I7">
        <v>5.66</v>
      </c>
      <c r="J7">
        <v>16.98</v>
      </c>
      <c r="K7">
        <v>16.98</v>
      </c>
      <c r="L7">
        <v>16.98</v>
      </c>
      <c r="M7" s="6">
        <v>0.3888888888888889</v>
      </c>
      <c r="N7" s="6">
        <v>0.33333333333333331</v>
      </c>
      <c r="O7" s="6">
        <v>0.27777777777777779</v>
      </c>
      <c r="P7" s="10">
        <v>98</v>
      </c>
      <c r="Q7">
        <v>92.45</v>
      </c>
      <c r="R7">
        <v>9.25</v>
      </c>
      <c r="S7">
        <v>27.73</v>
      </c>
      <c r="T7">
        <v>27.73</v>
      </c>
      <c r="U7">
        <v>27.73</v>
      </c>
      <c r="V7" s="6">
        <v>0.375</v>
      </c>
      <c r="W7" s="6">
        <v>0.29166666666666669</v>
      </c>
      <c r="X7" s="6">
        <v>0.33333333333333331</v>
      </c>
      <c r="Y7" s="11">
        <f>VLOOKUP(G7,'[1]historico puntos 2022-2025'!$A$2:$G$19,7,0)</f>
        <v>133</v>
      </c>
      <c r="Z7" t="s">
        <v>39</v>
      </c>
      <c r="AA7">
        <f t="shared" si="2"/>
        <v>5</v>
      </c>
    </row>
    <row r="8" spans="1:27" hidden="1" x14ac:dyDescent="0.3">
      <c r="A8" t="str">
        <f t="shared" si="0"/>
        <v>2024-Puebla</v>
      </c>
      <c r="B8" t="str">
        <f t="shared" si="1"/>
        <v>2024-América</v>
      </c>
      <c r="C8">
        <v>2024</v>
      </c>
      <c r="D8" t="s">
        <v>1</v>
      </c>
      <c r="E8" s="2">
        <v>1</v>
      </c>
      <c r="F8" s="2">
        <v>2</v>
      </c>
      <c r="G8" t="s">
        <v>14</v>
      </c>
      <c r="H8">
        <v>24.1</v>
      </c>
      <c r="I8">
        <v>2.41</v>
      </c>
      <c r="J8">
        <v>7.23</v>
      </c>
      <c r="K8">
        <v>7.23</v>
      </c>
      <c r="L8">
        <v>7.23</v>
      </c>
      <c r="M8" s="6">
        <v>0.23529411764705882</v>
      </c>
      <c r="N8" s="6">
        <v>0.11764705882352941</v>
      </c>
      <c r="O8" s="6">
        <v>0.6470588235294118</v>
      </c>
      <c r="P8" s="10">
        <v>34</v>
      </c>
      <c r="Q8">
        <v>92.45</v>
      </c>
      <c r="R8">
        <v>9.25</v>
      </c>
      <c r="S8">
        <v>27.73</v>
      </c>
      <c r="T8">
        <v>27.73</v>
      </c>
      <c r="U8">
        <v>27.73</v>
      </c>
      <c r="V8" s="6">
        <v>0.375</v>
      </c>
      <c r="W8" s="6">
        <v>0.29166666666666669</v>
      </c>
      <c r="X8" s="6">
        <v>0.33333333333333331</v>
      </c>
      <c r="Y8" s="11">
        <f>VLOOKUP(G8,'[1]historico puntos 2022-2025'!$A$2:$G$19,7,0)</f>
        <v>133</v>
      </c>
      <c r="Z8" t="s">
        <v>40</v>
      </c>
      <c r="AA8">
        <f t="shared" si="2"/>
        <v>6</v>
      </c>
    </row>
    <row r="9" spans="1:27" hidden="1" x14ac:dyDescent="0.3">
      <c r="A9" t="str">
        <f t="shared" si="0"/>
        <v>2024-Pumas</v>
      </c>
      <c r="B9" t="str">
        <f t="shared" si="1"/>
        <v>2024-América</v>
      </c>
      <c r="C9">
        <v>2024</v>
      </c>
      <c r="D9" t="s">
        <v>16</v>
      </c>
      <c r="E9" s="2">
        <v>2</v>
      </c>
      <c r="F9" s="2">
        <v>1</v>
      </c>
      <c r="G9" t="s">
        <v>14</v>
      </c>
      <c r="H9">
        <v>47.6</v>
      </c>
      <c r="I9">
        <v>4.76</v>
      </c>
      <c r="J9">
        <v>14.28</v>
      </c>
      <c r="K9">
        <v>14.28</v>
      </c>
      <c r="L9">
        <v>14.28</v>
      </c>
      <c r="M9" s="6">
        <v>0.5</v>
      </c>
      <c r="N9" s="6">
        <v>0.16666666666666666</v>
      </c>
      <c r="O9" s="6">
        <v>0.33333333333333331</v>
      </c>
      <c r="P9" s="10">
        <v>75</v>
      </c>
      <c r="Q9">
        <v>92.45</v>
      </c>
      <c r="R9">
        <v>9.25</v>
      </c>
      <c r="S9">
        <v>27.73</v>
      </c>
      <c r="T9">
        <v>27.73</v>
      </c>
      <c r="U9">
        <v>27.73</v>
      </c>
      <c r="V9" s="6">
        <v>0.375</v>
      </c>
      <c r="W9" s="6">
        <v>0.29166666666666669</v>
      </c>
      <c r="X9" s="6">
        <v>0.33333333333333331</v>
      </c>
      <c r="Y9" s="11">
        <f>VLOOKUP(G9,'[1]historico puntos 2022-2025'!$A$2:$G$19,7,0)</f>
        <v>133</v>
      </c>
      <c r="Z9" t="s">
        <v>38</v>
      </c>
      <c r="AA9">
        <f t="shared" si="2"/>
        <v>7</v>
      </c>
    </row>
    <row r="10" spans="1:27" hidden="1" x14ac:dyDescent="0.3">
      <c r="A10" t="str">
        <f t="shared" si="0"/>
        <v>2024-América</v>
      </c>
      <c r="B10" t="str">
        <f t="shared" si="1"/>
        <v>2024-Toluca</v>
      </c>
      <c r="C10">
        <v>2024</v>
      </c>
      <c r="D10" t="s">
        <v>14</v>
      </c>
      <c r="E10" s="2">
        <v>5</v>
      </c>
      <c r="F10" s="2">
        <v>1</v>
      </c>
      <c r="G10" t="s">
        <v>2</v>
      </c>
      <c r="H10">
        <v>92.45</v>
      </c>
      <c r="I10">
        <v>9.25</v>
      </c>
      <c r="J10">
        <v>27.73</v>
      </c>
      <c r="K10">
        <v>27.73</v>
      </c>
      <c r="L10">
        <v>27.73</v>
      </c>
      <c r="M10" s="6">
        <v>0.65217391304347827</v>
      </c>
      <c r="N10" s="6">
        <v>0.21739130434782608</v>
      </c>
      <c r="O10" s="6">
        <v>0.13043478260869565</v>
      </c>
      <c r="P10" s="10">
        <v>133</v>
      </c>
      <c r="Q10">
        <v>77.45</v>
      </c>
      <c r="R10">
        <v>7.75</v>
      </c>
      <c r="S10">
        <v>23.24</v>
      </c>
      <c r="T10">
        <v>23.24</v>
      </c>
      <c r="U10">
        <v>23.24</v>
      </c>
      <c r="V10" s="6">
        <v>0.38095238095238093</v>
      </c>
      <c r="W10" s="6">
        <v>0.33333333333333331</v>
      </c>
      <c r="X10" s="6">
        <v>0.2857142857142857</v>
      </c>
      <c r="Y10" s="11">
        <f>VLOOKUP(G10,'[1]historico puntos 2022-2025'!$A$2:$G$19,7,0)</f>
        <v>118</v>
      </c>
      <c r="Z10" t="s">
        <v>38</v>
      </c>
      <c r="AA10">
        <f t="shared" si="2"/>
        <v>8</v>
      </c>
    </row>
    <row r="11" spans="1:27" hidden="1" x14ac:dyDescent="0.3">
      <c r="A11" t="str">
        <f t="shared" si="0"/>
        <v>2024-Santos Laguna</v>
      </c>
      <c r="B11" t="str">
        <f t="shared" si="1"/>
        <v>2024-América</v>
      </c>
      <c r="C11">
        <v>2024</v>
      </c>
      <c r="D11" t="s">
        <v>11</v>
      </c>
      <c r="E11" s="2">
        <v>1</v>
      </c>
      <c r="F11" s="2">
        <v>1</v>
      </c>
      <c r="G11" t="s">
        <v>14</v>
      </c>
      <c r="H11">
        <v>35.9</v>
      </c>
      <c r="I11">
        <v>3.59</v>
      </c>
      <c r="J11">
        <v>10.77</v>
      </c>
      <c r="K11">
        <v>10.77</v>
      </c>
      <c r="L11">
        <v>10.77</v>
      </c>
      <c r="M11" s="6">
        <v>0.23529411764705882</v>
      </c>
      <c r="N11" s="6">
        <v>0.17647058823529413</v>
      </c>
      <c r="O11" s="6">
        <v>0.58823529411764708</v>
      </c>
      <c r="P11" s="10">
        <v>46</v>
      </c>
      <c r="Q11">
        <v>92.45</v>
      </c>
      <c r="R11">
        <v>9.25</v>
      </c>
      <c r="S11">
        <v>27.73</v>
      </c>
      <c r="T11">
        <v>27.73</v>
      </c>
      <c r="U11">
        <v>27.73</v>
      </c>
      <c r="V11" s="6">
        <v>0.375</v>
      </c>
      <c r="W11" s="6">
        <v>0.29166666666666669</v>
      </c>
      <c r="X11" s="6">
        <v>0.33333333333333331</v>
      </c>
      <c r="Y11" s="11">
        <f>VLOOKUP(G11,'[1]historico puntos 2022-2025'!$A$2:$G$19,7,0)</f>
        <v>133</v>
      </c>
      <c r="Z11" t="s">
        <v>39</v>
      </c>
      <c r="AA11">
        <f t="shared" si="2"/>
        <v>9</v>
      </c>
    </row>
    <row r="12" spans="1:27" hidden="1" x14ac:dyDescent="0.3">
      <c r="A12" t="str">
        <f t="shared" si="0"/>
        <v>2024-América</v>
      </c>
      <c r="B12" t="str">
        <f t="shared" si="1"/>
        <v>2024-Atlético San Luis</v>
      </c>
      <c r="C12">
        <v>2024</v>
      </c>
      <c r="D12" t="s">
        <v>14</v>
      </c>
      <c r="E12" s="2">
        <v>2</v>
      </c>
      <c r="F12" s="2">
        <v>1</v>
      </c>
      <c r="G12" t="s">
        <v>15</v>
      </c>
      <c r="H12">
        <v>92.45</v>
      </c>
      <c r="I12">
        <v>9.25</v>
      </c>
      <c r="J12">
        <v>27.73</v>
      </c>
      <c r="K12">
        <v>27.73</v>
      </c>
      <c r="L12">
        <v>27.73</v>
      </c>
      <c r="M12" s="6">
        <v>0.65217391304347827</v>
      </c>
      <c r="N12" s="6">
        <v>0.21739130434782608</v>
      </c>
      <c r="O12" s="6">
        <v>0.13043478260869565</v>
      </c>
      <c r="P12" s="10">
        <v>133</v>
      </c>
      <c r="Q12">
        <v>45.95</v>
      </c>
      <c r="R12">
        <v>4.5999999999999996</v>
      </c>
      <c r="S12">
        <v>13.84</v>
      </c>
      <c r="T12">
        <v>13.84</v>
      </c>
      <c r="U12">
        <v>13.84</v>
      </c>
      <c r="V12" s="6">
        <v>0.21052631578947367</v>
      </c>
      <c r="W12" s="6">
        <v>0.15789473684210525</v>
      </c>
      <c r="X12" s="6">
        <v>0.63157894736842102</v>
      </c>
      <c r="Y12" s="11">
        <f>VLOOKUP(G12,'[1]historico puntos 2022-2025'!$A$2:$G$19,7,0)</f>
        <v>59</v>
      </c>
      <c r="Z12" t="s">
        <v>38</v>
      </c>
      <c r="AA12">
        <f t="shared" si="2"/>
        <v>10</v>
      </c>
    </row>
    <row r="13" spans="1:27" hidden="1" x14ac:dyDescent="0.3">
      <c r="A13" t="str">
        <f t="shared" si="0"/>
        <v>2024-Chivas</v>
      </c>
      <c r="B13" t="str">
        <f t="shared" si="1"/>
        <v>2024-América</v>
      </c>
      <c r="C13">
        <v>2024</v>
      </c>
      <c r="D13" t="s">
        <v>21</v>
      </c>
      <c r="E13" s="2">
        <v>0</v>
      </c>
      <c r="F13" s="2">
        <v>0</v>
      </c>
      <c r="G13" t="s">
        <v>14</v>
      </c>
      <c r="H13">
        <v>70.2</v>
      </c>
      <c r="I13">
        <v>7.02</v>
      </c>
      <c r="J13">
        <v>21.06</v>
      </c>
      <c r="K13">
        <v>21.06</v>
      </c>
      <c r="L13">
        <v>21.06</v>
      </c>
      <c r="M13" s="6">
        <v>0.44444444444444442</v>
      </c>
      <c r="N13" s="6">
        <v>0.33333333333333331</v>
      </c>
      <c r="O13" s="6">
        <v>0.22222222222222221</v>
      </c>
      <c r="P13" s="10">
        <v>99</v>
      </c>
      <c r="Q13">
        <v>92.45</v>
      </c>
      <c r="R13">
        <v>9.25</v>
      </c>
      <c r="S13">
        <v>27.73</v>
      </c>
      <c r="T13">
        <v>27.73</v>
      </c>
      <c r="U13">
        <v>27.73</v>
      </c>
      <c r="V13" s="6">
        <v>0.375</v>
      </c>
      <c r="W13" s="6">
        <v>0.29166666666666669</v>
      </c>
      <c r="X13" s="6">
        <v>0.33333333333333331</v>
      </c>
      <c r="Y13" s="11">
        <f>VLOOKUP(G13,'[1]historico puntos 2022-2025'!$A$2:$G$19,7,0)</f>
        <v>133</v>
      </c>
      <c r="Z13" t="s">
        <v>39</v>
      </c>
      <c r="AA13">
        <f t="shared" si="2"/>
        <v>11</v>
      </c>
    </row>
    <row r="14" spans="1:27" hidden="1" x14ac:dyDescent="0.3">
      <c r="A14" t="str">
        <f t="shared" si="0"/>
        <v>2024-América</v>
      </c>
      <c r="B14" t="str">
        <f t="shared" si="1"/>
        <v>2024-Tigres</v>
      </c>
      <c r="C14">
        <v>2024</v>
      </c>
      <c r="D14" t="s">
        <v>14</v>
      </c>
      <c r="E14" s="2">
        <v>2</v>
      </c>
      <c r="F14" s="2">
        <v>0</v>
      </c>
      <c r="G14" t="s">
        <v>17</v>
      </c>
      <c r="H14">
        <v>92.45</v>
      </c>
      <c r="I14">
        <v>9.25</v>
      </c>
      <c r="J14">
        <v>27.73</v>
      </c>
      <c r="K14">
        <v>27.73</v>
      </c>
      <c r="L14">
        <v>27.73</v>
      </c>
      <c r="M14" s="6">
        <v>0.65217391304347827</v>
      </c>
      <c r="N14" s="6">
        <v>0.21739130434782608</v>
      </c>
      <c r="O14" s="6">
        <v>0.13043478260869565</v>
      </c>
      <c r="P14" s="10">
        <v>133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s="6">
        <v>0.3</v>
      </c>
      <c r="W14" s="6">
        <v>0.3</v>
      </c>
      <c r="X14" s="6">
        <v>0.4</v>
      </c>
      <c r="Y14" s="11">
        <f>VLOOKUP(G14,'[1]historico puntos 2022-2025'!$A$2:$G$19,7,0)</f>
        <v>107</v>
      </c>
      <c r="Z14" t="s">
        <v>38</v>
      </c>
      <c r="AA14">
        <f t="shared" si="2"/>
        <v>12</v>
      </c>
    </row>
    <row r="15" spans="1:27" hidden="1" x14ac:dyDescent="0.3">
      <c r="A15" t="str">
        <f t="shared" si="0"/>
        <v>2024-América</v>
      </c>
      <c r="B15" t="str">
        <f t="shared" si="1"/>
        <v>2024-Cruz Azul</v>
      </c>
      <c r="C15">
        <v>2024</v>
      </c>
      <c r="D15" t="s">
        <v>14</v>
      </c>
      <c r="E15" s="2">
        <v>1</v>
      </c>
      <c r="F15" s="2">
        <v>0</v>
      </c>
      <c r="G15" t="s">
        <v>10</v>
      </c>
      <c r="H15">
        <v>92.45</v>
      </c>
      <c r="I15">
        <v>9.25</v>
      </c>
      <c r="J15">
        <v>27.73</v>
      </c>
      <c r="K15">
        <v>27.73</v>
      </c>
      <c r="L15">
        <v>27.73</v>
      </c>
      <c r="M15" s="6">
        <v>0.65217391304347827</v>
      </c>
      <c r="N15" s="6">
        <v>0.21739130434782608</v>
      </c>
      <c r="O15" s="6">
        <v>0.13043478260869565</v>
      </c>
      <c r="P15" s="10">
        <v>133</v>
      </c>
      <c r="Q15">
        <v>78.849999999999994</v>
      </c>
      <c r="R15">
        <v>7.89</v>
      </c>
      <c r="S15">
        <v>23.66</v>
      </c>
      <c r="T15">
        <v>23.66</v>
      </c>
      <c r="U15">
        <v>23.66</v>
      </c>
      <c r="V15" s="6">
        <v>0.52380952380952384</v>
      </c>
      <c r="W15" s="6">
        <v>0.23809523809523808</v>
      </c>
      <c r="X15" s="6">
        <v>0.23809523809523808</v>
      </c>
      <c r="Y15" s="11">
        <f>VLOOKUP(G15,'[1]historico puntos 2022-2025'!$A$2:$G$19,7,0)</f>
        <v>107</v>
      </c>
      <c r="Z15" t="s">
        <v>38</v>
      </c>
      <c r="AA15">
        <f t="shared" si="2"/>
        <v>13</v>
      </c>
    </row>
    <row r="16" spans="1:27" hidden="1" x14ac:dyDescent="0.3">
      <c r="A16" t="str">
        <f t="shared" si="0"/>
        <v>2024-América</v>
      </c>
      <c r="B16" t="str">
        <f t="shared" si="1"/>
        <v>2024-Mazatlán</v>
      </c>
      <c r="C16">
        <v>2024</v>
      </c>
      <c r="D16" t="s">
        <v>14</v>
      </c>
      <c r="E16" s="2">
        <v>2</v>
      </c>
      <c r="F16" s="2">
        <v>2</v>
      </c>
      <c r="G16" t="s">
        <v>20</v>
      </c>
      <c r="H16">
        <v>92.45</v>
      </c>
      <c r="I16">
        <v>9.25</v>
      </c>
      <c r="J16">
        <v>27.73</v>
      </c>
      <c r="K16">
        <v>27.73</v>
      </c>
      <c r="L16">
        <v>27.73</v>
      </c>
      <c r="M16" s="6">
        <v>0.65217391304347827</v>
      </c>
      <c r="N16" s="6">
        <v>0.21739130434782608</v>
      </c>
      <c r="O16" s="6">
        <v>0.13043478260869565</v>
      </c>
      <c r="P16" s="10">
        <v>133</v>
      </c>
      <c r="Q16">
        <v>31.45</v>
      </c>
      <c r="R16">
        <v>3.15</v>
      </c>
      <c r="S16">
        <v>9.44</v>
      </c>
      <c r="T16">
        <v>9.44</v>
      </c>
      <c r="U16">
        <v>9.44</v>
      </c>
      <c r="V16" s="6">
        <v>5.8823529411764705E-2</v>
      </c>
      <c r="W16" s="6">
        <v>0.29411764705882354</v>
      </c>
      <c r="X16" s="6">
        <v>0.6470588235294118</v>
      </c>
      <c r="Y16" s="11">
        <f>VLOOKUP(G16,'[1]historico puntos 2022-2025'!$A$2:$G$19,7,0)</f>
        <v>40</v>
      </c>
      <c r="Z16" t="s">
        <v>39</v>
      </c>
      <c r="AA16">
        <f t="shared" si="2"/>
        <v>14</v>
      </c>
    </row>
    <row r="17" spans="1:27" hidden="1" x14ac:dyDescent="0.3">
      <c r="A17" t="str">
        <f t="shared" si="0"/>
        <v>2024-Pachuca</v>
      </c>
      <c r="B17" t="str">
        <f t="shared" si="1"/>
        <v>2024-América</v>
      </c>
      <c r="C17">
        <v>2024</v>
      </c>
      <c r="D17" t="s">
        <v>0</v>
      </c>
      <c r="E17" s="2">
        <v>2</v>
      </c>
      <c r="F17" s="2">
        <v>1</v>
      </c>
      <c r="G17" t="s">
        <v>14</v>
      </c>
      <c r="H17">
        <v>56.6</v>
      </c>
      <c r="I17">
        <v>5.66</v>
      </c>
      <c r="J17">
        <v>16.98</v>
      </c>
      <c r="K17">
        <v>16.98</v>
      </c>
      <c r="L17">
        <v>16.98</v>
      </c>
      <c r="M17" s="6">
        <v>0.3888888888888889</v>
      </c>
      <c r="N17" s="6">
        <v>0.33333333333333331</v>
      </c>
      <c r="O17" s="6">
        <v>0.27777777777777779</v>
      </c>
      <c r="P17" s="10">
        <v>98</v>
      </c>
      <c r="Q17">
        <v>92.45</v>
      </c>
      <c r="R17">
        <v>9.25</v>
      </c>
      <c r="S17">
        <v>27.73</v>
      </c>
      <c r="T17">
        <v>27.73</v>
      </c>
      <c r="U17">
        <v>27.73</v>
      </c>
      <c r="V17" s="6">
        <v>0.375</v>
      </c>
      <c r="W17" s="6">
        <v>0.29166666666666669</v>
      </c>
      <c r="X17" s="6">
        <v>0.33333333333333331</v>
      </c>
      <c r="Y17" s="11">
        <f>VLOOKUP(G17,'[1]historico puntos 2022-2025'!$A$2:$G$19,7,0)</f>
        <v>133</v>
      </c>
      <c r="Z17" t="s">
        <v>38</v>
      </c>
      <c r="AA17">
        <f t="shared" si="2"/>
        <v>15</v>
      </c>
    </row>
    <row r="18" spans="1:27" hidden="1" x14ac:dyDescent="0.3">
      <c r="A18" t="str">
        <f t="shared" si="0"/>
        <v>2024-León</v>
      </c>
      <c r="B18" t="str">
        <f t="shared" si="1"/>
        <v>2024-América</v>
      </c>
      <c r="C18">
        <v>2024</v>
      </c>
      <c r="D18" t="s">
        <v>36</v>
      </c>
      <c r="E18" s="2">
        <v>0</v>
      </c>
      <c r="F18" s="2">
        <v>1</v>
      </c>
      <c r="G18" t="s">
        <v>14</v>
      </c>
      <c r="H18">
        <v>29.55</v>
      </c>
      <c r="I18">
        <v>2.96</v>
      </c>
      <c r="J18">
        <v>8.8699999999999992</v>
      </c>
      <c r="K18">
        <v>8.8699999999999992</v>
      </c>
      <c r="L18">
        <v>8.8699999999999992</v>
      </c>
      <c r="M18" s="6">
        <v>0.3888888888888889</v>
      </c>
      <c r="N18" s="6">
        <v>0.3888888888888889</v>
      </c>
      <c r="O18" s="6">
        <v>0.22222222222222221</v>
      </c>
      <c r="P18" s="10">
        <v>87</v>
      </c>
      <c r="Q18">
        <v>92.45</v>
      </c>
      <c r="R18">
        <v>9.25</v>
      </c>
      <c r="S18">
        <v>27.73</v>
      </c>
      <c r="T18">
        <v>27.73</v>
      </c>
      <c r="U18">
        <v>27.73</v>
      </c>
      <c r="V18" s="6">
        <v>0.375</v>
      </c>
      <c r="W18" s="6">
        <v>0.29166666666666669</v>
      </c>
      <c r="X18" s="6">
        <v>0.33333333333333331</v>
      </c>
      <c r="Y18" s="11">
        <f>VLOOKUP(G18,'[1]historico puntos 2022-2025'!$A$2:$G$19,7,0)</f>
        <v>133</v>
      </c>
      <c r="Z18" t="s">
        <v>40</v>
      </c>
      <c r="AA18">
        <f t="shared" si="2"/>
        <v>16</v>
      </c>
    </row>
    <row r="19" spans="1:27" hidden="1" x14ac:dyDescent="0.3">
      <c r="A19" t="str">
        <f t="shared" si="0"/>
        <v>2024-América</v>
      </c>
      <c r="B19" t="str">
        <f t="shared" si="1"/>
        <v>2024-Monterrey</v>
      </c>
      <c r="C19">
        <v>2024</v>
      </c>
      <c r="D19" t="s">
        <v>14</v>
      </c>
      <c r="E19" s="2">
        <v>1</v>
      </c>
      <c r="F19" s="2">
        <v>1</v>
      </c>
      <c r="G19" t="s">
        <v>3</v>
      </c>
      <c r="H19">
        <v>92.45</v>
      </c>
      <c r="I19">
        <v>9.25</v>
      </c>
      <c r="J19">
        <v>27.73</v>
      </c>
      <c r="K19">
        <v>27.73</v>
      </c>
      <c r="L19">
        <v>27.73</v>
      </c>
      <c r="M19" s="6">
        <v>0.65217391304347827</v>
      </c>
      <c r="N19" s="6">
        <v>0.21739130434782608</v>
      </c>
      <c r="O19" s="6">
        <v>0.13043478260869565</v>
      </c>
      <c r="P19" s="10">
        <v>133</v>
      </c>
      <c r="Q19">
        <v>88.6</v>
      </c>
      <c r="R19">
        <v>8.86</v>
      </c>
      <c r="S19">
        <v>26.58</v>
      </c>
      <c r="T19">
        <v>26.58</v>
      </c>
      <c r="U19">
        <v>26.58</v>
      </c>
      <c r="V19" s="6">
        <v>0.38095238095238093</v>
      </c>
      <c r="W19" s="6">
        <v>0.23809523809523808</v>
      </c>
      <c r="X19" s="6">
        <v>0.38095238095238093</v>
      </c>
      <c r="Y19" s="11">
        <f>VLOOKUP(G19,'[1]historico puntos 2022-2025'!$A$2:$G$19,7,0)</f>
        <v>118</v>
      </c>
      <c r="Z19" t="s">
        <v>39</v>
      </c>
      <c r="AA19">
        <f t="shared" si="2"/>
        <v>17</v>
      </c>
    </row>
    <row r="20" spans="1:27" hidden="1" x14ac:dyDescent="0.3">
      <c r="A20" t="str">
        <f t="shared" si="0"/>
        <v>2024-Juarez</v>
      </c>
      <c r="B20" t="str">
        <f t="shared" si="1"/>
        <v>2024-América</v>
      </c>
      <c r="C20">
        <v>2024</v>
      </c>
      <c r="D20" t="s">
        <v>18</v>
      </c>
      <c r="E20" s="2">
        <v>0</v>
      </c>
      <c r="F20" s="2">
        <v>2</v>
      </c>
      <c r="G20" t="s">
        <v>14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s="6">
        <v>0.27777777777777779</v>
      </c>
      <c r="N20" s="6">
        <v>0.33333333333333331</v>
      </c>
      <c r="O20" s="6">
        <v>0.3888888888888889</v>
      </c>
      <c r="P20" s="10">
        <v>55</v>
      </c>
      <c r="Q20">
        <v>92.45</v>
      </c>
      <c r="R20">
        <v>9.25</v>
      </c>
      <c r="S20">
        <v>27.73</v>
      </c>
      <c r="T20">
        <v>27.73</v>
      </c>
      <c r="U20">
        <v>27.73</v>
      </c>
      <c r="V20" s="6">
        <v>0.375</v>
      </c>
      <c r="W20" s="6">
        <v>0.29166666666666669</v>
      </c>
      <c r="X20" s="6">
        <v>0.33333333333333331</v>
      </c>
      <c r="Y20" s="11">
        <f>VLOOKUP(G20,'[1]historico puntos 2022-2025'!$A$2:$G$19,7,0)</f>
        <v>133</v>
      </c>
      <c r="Z20" t="s">
        <v>40</v>
      </c>
      <c r="AA20">
        <f t="shared" si="2"/>
        <v>18</v>
      </c>
    </row>
    <row r="21" spans="1:27" hidden="1" x14ac:dyDescent="0.3">
      <c r="A21" t="str">
        <f t="shared" si="0"/>
        <v>2024-América</v>
      </c>
      <c r="B21" t="str">
        <f t="shared" si="1"/>
        <v>2024-Querétaro</v>
      </c>
      <c r="C21">
        <v>2024</v>
      </c>
      <c r="D21" t="s">
        <v>14</v>
      </c>
      <c r="E21" s="2">
        <v>2</v>
      </c>
      <c r="F21" s="2">
        <v>0</v>
      </c>
      <c r="G21" t="s">
        <v>22</v>
      </c>
      <c r="H21">
        <v>92.45</v>
      </c>
      <c r="I21">
        <v>9.25</v>
      </c>
      <c r="J21">
        <v>27.73</v>
      </c>
      <c r="K21">
        <v>27.73</v>
      </c>
      <c r="L21">
        <v>27.73</v>
      </c>
      <c r="M21" s="6">
        <v>0.65217391304347827</v>
      </c>
      <c r="N21" s="6">
        <v>0.21739130434782608</v>
      </c>
      <c r="O21" s="6">
        <v>0.13043478260869565</v>
      </c>
      <c r="P21" s="10">
        <v>133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s="6">
        <v>0.17647058823529413</v>
      </c>
      <c r="W21" s="6">
        <v>0.17647058823529413</v>
      </c>
      <c r="X21" s="6">
        <v>0.6470588235294118</v>
      </c>
      <c r="Y21" s="11">
        <f>VLOOKUP(G21,'[1]historico puntos 2022-2025'!$A$2:$G$19,7,0)</f>
        <v>64</v>
      </c>
      <c r="Z21" t="s">
        <v>38</v>
      </c>
      <c r="AA21">
        <f t="shared" si="2"/>
        <v>19</v>
      </c>
    </row>
    <row r="22" spans="1:27" hidden="1" x14ac:dyDescent="0.3">
      <c r="A22" t="str">
        <f t="shared" si="0"/>
        <v>2024-Xolos</v>
      </c>
      <c r="B22" t="str">
        <f t="shared" si="1"/>
        <v>2024-América</v>
      </c>
      <c r="C22">
        <v>2024</v>
      </c>
      <c r="D22" t="s">
        <v>19</v>
      </c>
      <c r="E22" s="2">
        <v>0</v>
      </c>
      <c r="F22" s="2">
        <v>2</v>
      </c>
      <c r="G22" t="s">
        <v>14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s="6">
        <v>0.55000000000000004</v>
      </c>
      <c r="N22" s="6">
        <v>0.15</v>
      </c>
      <c r="O22" s="6">
        <v>0.3</v>
      </c>
      <c r="P22" s="10">
        <v>49</v>
      </c>
      <c r="Q22">
        <v>92.45</v>
      </c>
      <c r="R22">
        <v>9.25</v>
      </c>
      <c r="S22">
        <v>27.73</v>
      </c>
      <c r="T22">
        <v>27.73</v>
      </c>
      <c r="U22">
        <v>27.73</v>
      </c>
      <c r="V22" s="6">
        <v>0.375</v>
      </c>
      <c r="W22" s="6">
        <v>0.29166666666666669</v>
      </c>
      <c r="X22" s="6">
        <v>0.33333333333333331</v>
      </c>
      <c r="Y22" s="11">
        <f>VLOOKUP(G22,'[1]historico puntos 2022-2025'!$A$2:$G$19,7,0)</f>
        <v>133</v>
      </c>
      <c r="Z22" t="s">
        <v>40</v>
      </c>
      <c r="AA22">
        <f t="shared" si="2"/>
        <v>20</v>
      </c>
    </row>
    <row r="23" spans="1:27" hidden="1" x14ac:dyDescent="0.3">
      <c r="A23" t="str">
        <f t="shared" si="0"/>
        <v>2023-América</v>
      </c>
      <c r="B23" t="str">
        <f t="shared" si="1"/>
        <v>2023-Tigres</v>
      </c>
      <c r="C23" s="1">
        <v>2023</v>
      </c>
      <c r="D23" t="s">
        <v>14</v>
      </c>
      <c r="E23" s="2">
        <v>0</v>
      </c>
      <c r="F23" s="2">
        <v>0</v>
      </c>
      <c r="G23" t="s">
        <v>17</v>
      </c>
      <c r="H23">
        <v>84.2</v>
      </c>
      <c r="I23">
        <v>8.42</v>
      </c>
      <c r="J23">
        <v>25.26</v>
      </c>
      <c r="K23">
        <v>25.26</v>
      </c>
      <c r="L23">
        <v>25.26</v>
      </c>
      <c r="M23" s="6">
        <v>0.65217391304347827</v>
      </c>
      <c r="N23" s="6">
        <v>0.21739130434782608</v>
      </c>
      <c r="O23" s="6">
        <v>0.13043478260869565</v>
      </c>
      <c r="P23" s="10">
        <v>133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s="6">
        <v>0.3</v>
      </c>
      <c r="W23" s="6">
        <v>0.3</v>
      </c>
      <c r="X23" s="6">
        <v>0.4</v>
      </c>
      <c r="Y23" s="11">
        <f>VLOOKUP(G23,'[1]historico puntos 2022-2025'!$A$2:$G$19,7,0)</f>
        <v>107</v>
      </c>
      <c r="Z23" t="s">
        <v>39</v>
      </c>
      <c r="AA23">
        <f t="shared" si="2"/>
        <v>21</v>
      </c>
    </row>
    <row r="24" spans="1:27" x14ac:dyDescent="0.3">
      <c r="A24" t="str">
        <f t="shared" si="0"/>
        <v>2023-Tigres</v>
      </c>
      <c r="B24" t="str">
        <f t="shared" si="1"/>
        <v>2023-América</v>
      </c>
      <c r="C24">
        <v>2023</v>
      </c>
      <c r="D24" t="s">
        <v>17</v>
      </c>
      <c r="E24" s="2">
        <v>1</v>
      </c>
      <c r="F24" s="2">
        <v>1</v>
      </c>
      <c r="G24" t="s">
        <v>14</v>
      </c>
      <c r="H24">
        <v>67.599999999999994</v>
      </c>
      <c r="I24">
        <v>6.76</v>
      </c>
      <c r="J24">
        <v>20.28</v>
      </c>
      <c r="K24">
        <v>20.28</v>
      </c>
      <c r="L24">
        <v>20.28</v>
      </c>
      <c r="M24" s="6">
        <v>0.7</v>
      </c>
      <c r="N24" s="6">
        <v>0.25</v>
      </c>
      <c r="O24" s="6">
        <v>0.05</v>
      </c>
      <c r="P24" s="10">
        <v>107</v>
      </c>
      <c r="Q24">
        <v>84.2</v>
      </c>
      <c r="R24">
        <v>8.42</v>
      </c>
      <c r="S24">
        <v>25.26</v>
      </c>
      <c r="T24">
        <v>25.26</v>
      </c>
      <c r="U24">
        <v>25.26</v>
      </c>
      <c r="V24" s="6">
        <v>0.375</v>
      </c>
      <c r="W24" s="6">
        <v>0.29166666666666669</v>
      </c>
      <c r="X24" s="6">
        <v>0.33333333333333331</v>
      </c>
      <c r="Y24" s="11">
        <f>VLOOKUP(G24,'[1]historico puntos 2022-2025'!$A$2:$G$19,7,0)</f>
        <v>133</v>
      </c>
      <c r="Z24" t="s">
        <v>39</v>
      </c>
      <c r="AA24">
        <f t="shared" si="2"/>
        <v>22</v>
      </c>
    </row>
    <row r="25" spans="1:27" hidden="1" x14ac:dyDescent="0.3">
      <c r="A25" t="str">
        <f t="shared" si="0"/>
        <v>2023-América</v>
      </c>
      <c r="B25" t="str">
        <f t="shared" si="1"/>
        <v>2023-Atlético San Luis</v>
      </c>
      <c r="C25">
        <v>2023</v>
      </c>
      <c r="D25" t="s">
        <v>14</v>
      </c>
      <c r="E25" s="2">
        <v>0</v>
      </c>
      <c r="F25" s="2">
        <v>2</v>
      </c>
      <c r="G25" t="s">
        <v>15</v>
      </c>
      <c r="H25">
        <v>84.2</v>
      </c>
      <c r="I25">
        <v>8.42</v>
      </c>
      <c r="J25">
        <v>25.26</v>
      </c>
      <c r="K25">
        <v>25.26</v>
      </c>
      <c r="L25">
        <v>25.26</v>
      </c>
      <c r="M25" s="6">
        <v>0.65217391304347827</v>
      </c>
      <c r="N25" s="6">
        <v>0.21739130434782608</v>
      </c>
      <c r="O25" s="6">
        <v>0.13043478260869565</v>
      </c>
      <c r="P25" s="10">
        <v>133</v>
      </c>
      <c r="Q25">
        <v>35.85</v>
      </c>
      <c r="R25">
        <v>3.59</v>
      </c>
      <c r="S25">
        <v>10.77</v>
      </c>
      <c r="T25">
        <v>10.77</v>
      </c>
      <c r="U25">
        <v>10.77</v>
      </c>
      <c r="V25" s="6">
        <v>0.21052631578947367</v>
      </c>
      <c r="W25" s="6">
        <v>0.15789473684210525</v>
      </c>
      <c r="X25" s="6">
        <v>0.63157894736842102</v>
      </c>
      <c r="Y25" s="11">
        <f>VLOOKUP(G25,'[1]historico puntos 2022-2025'!$A$2:$G$19,7,0)</f>
        <v>59</v>
      </c>
      <c r="Z25" t="s">
        <v>40</v>
      </c>
      <c r="AA25">
        <f t="shared" si="2"/>
        <v>23</v>
      </c>
    </row>
    <row r="26" spans="1:27" hidden="1" x14ac:dyDescent="0.3">
      <c r="A26" t="str">
        <f t="shared" si="0"/>
        <v>2023-Atlético San Luis</v>
      </c>
      <c r="B26" t="str">
        <f t="shared" si="1"/>
        <v>2023-América</v>
      </c>
      <c r="C26">
        <v>2023</v>
      </c>
      <c r="D26" t="s">
        <v>15</v>
      </c>
      <c r="E26" s="2">
        <v>0</v>
      </c>
      <c r="F26" s="2">
        <v>5</v>
      </c>
      <c r="G26" t="s">
        <v>14</v>
      </c>
      <c r="H26">
        <v>35.85</v>
      </c>
      <c r="I26">
        <v>3.59</v>
      </c>
      <c r="J26">
        <v>10.77</v>
      </c>
      <c r="K26">
        <v>10.77</v>
      </c>
      <c r="L26">
        <v>10.77</v>
      </c>
      <c r="M26" s="6">
        <v>0.68421052631578949</v>
      </c>
      <c r="N26" s="6">
        <v>5.2631578947368418E-2</v>
      </c>
      <c r="O26" s="6">
        <v>0.26315789473684209</v>
      </c>
      <c r="P26" s="10">
        <v>59</v>
      </c>
      <c r="Q26">
        <v>84.2</v>
      </c>
      <c r="R26">
        <v>8.42</v>
      </c>
      <c r="S26">
        <v>25.26</v>
      </c>
      <c r="T26">
        <v>25.26</v>
      </c>
      <c r="U26">
        <v>25.26</v>
      </c>
      <c r="V26" s="6">
        <v>0.375</v>
      </c>
      <c r="W26" s="6">
        <v>0.29166666666666669</v>
      </c>
      <c r="X26" s="6">
        <v>0.33333333333333331</v>
      </c>
      <c r="Y26" s="11">
        <f>VLOOKUP(G26,'[1]historico puntos 2022-2025'!$A$2:$G$19,7,0)</f>
        <v>133</v>
      </c>
      <c r="Z26" t="s">
        <v>40</v>
      </c>
      <c r="AA26">
        <f t="shared" si="2"/>
        <v>24</v>
      </c>
    </row>
    <row r="27" spans="1:27" hidden="1" x14ac:dyDescent="0.3">
      <c r="A27" t="str">
        <f t="shared" si="0"/>
        <v>2023-América</v>
      </c>
      <c r="B27" t="str">
        <f t="shared" si="1"/>
        <v>2023-León</v>
      </c>
      <c r="C27">
        <v>2023</v>
      </c>
      <c r="D27" t="s">
        <v>14</v>
      </c>
      <c r="E27" s="2">
        <v>2</v>
      </c>
      <c r="F27" s="2">
        <v>0</v>
      </c>
      <c r="G27" t="s">
        <v>36</v>
      </c>
      <c r="H27">
        <v>84.2</v>
      </c>
      <c r="I27">
        <v>8.42</v>
      </c>
      <c r="J27">
        <v>25.26</v>
      </c>
      <c r="K27">
        <v>25.26</v>
      </c>
      <c r="L27">
        <v>25.26</v>
      </c>
      <c r="M27" s="6">
        <v>0.65217391304347827</v>
      </c>
      <c r="N27" s="6">
        <v>0.21739130434782608</v>
      </c>
      <c r="O27" s="6">
        <v>0.13043478260869565</v>
      </c>
      <c r="P27" s="10">
        <v>133</v>
      </c>
      <c r="Q27">
        <v>41.5</v>
      </c>
      <c r="R27">
        <v>4.1500000000000004</v>
      </c>
      <c r="S27">
        <v>12.45</v>
      </c>
      <c r="T27">
        <v>12.45</v>
      </c>
      <c r="U27">
        <v>12.45</v>
      </c>
      <c r="V27" s="6">
        <v>0.27777777777777779</v>
      </c>
      <c r="W27" s="6">
        <v>0.27777777777777779</v>
      </c>
      <c r="X27" s="6">
        <v>0.44444444444444442</v>
      </c>
      <c r="Y27" s="11">
        <f>VLOOKUP(G27,'[1]historico puntos 2022-2025'!$A$2:$G$19,7,0)</f>
        <v>87</v>
      </c>
      <c r="Z27" t="s">
        <v>38</v>
      </c>
      <c r="AA27">
        <f t="shared" si="2"/>
        <v>25</v>
      </c>
    </row>
    <row r="28" spans="1:27" hidden="1" x14ac:dyDescent="0.3">
      <c r="A28" t="str">
        <f t="shared" si="0"/>
        <v>2023-León</v>
      </c>
      <c r="B28" t="str">
        <f t="shared" si="1"/>
        <v>2023-América</v>
      </c>
      <c r="C28">
        <v>2023</v>
      </c>
      <c r="D28" t="s">
        <v>36</v>
      </c>
      <c r="E28" s="2">
        <v>2</v>
      </c>
      <c r="F28" s="2">
        <v>2</v>
      </c>
      <c r="G28" t="s">
        <v>14</v>
      </c>
      <c r="H28">
        <v>41.5</v>
      </c>
      <c r="I28">
        <v>4.1500000000000004</v>
      </c>
      <c r="J28">
        <v>12.45</v>
      </c>
      <c r="K28">
        <v>12.45</v>
      </c>
      <c r="L28">
        <v>12.45</v>
      </c>
      <c r="M28" s="6">
        <v>0.3888888888888889</v>
      </c>
      <c r="N28" s="6">
        <v>0.3888888888888889</v>
      </c>
      <c r="O28" s="6">
        <v>0.22222222222222221</v>
      </c>
      <c r="P28" s="10">
        <v>87</v>
      </c>
      <c r="Q28">
        <v>84.2</v>
      </c>
      <c r="R28">
        <v>8.42</v>
      </c>
      <c r="S28">
        <v>25.26</v>
      </c>
      <c r="T28">
        <v>25.26</v>
      </c>
      <c r="U28">
        <v>25.26</v>
      </c>
      <c r="V28" s="6">
        <v>0.375</v>
      </c>
      <c r="W28" s="6">
        <v>0.29166666666666669</v>
      </c>
      <c r="X28" s="6">
        <v>0.33333333333333331</v>
      </c>
      <c r="Y28" s="11">
        <f>VLOOKUP(G28,'[1]historico puntos 2022-2025'!$A$2:$G$19,7,0)</f>
        <v>133</v>
      </c>
      <c r="Z28" t="s">
        <v>39</v>
      </c>
      <c r="AA28">
        <f t="shared" si="2"/>
        <v>26</v>
      </c>
    </row>
    <row r="29" spans="1:27" x14ac:dyDescent="0.3">
      <c r="A29" t="str">
        <f t="shared" si="0"/>
        <v>2023-Tigres</v>
      </c>
      <c r="B29" t="str">
        <f t="shared" si="1"/>
        <v>2023-América</v>
      </c>
      <c r="C29">
        <v>2023</v>
      </c>
      <c r="D29" t="s">
        <v>17</v>
      </c>
      <c r="E29" s="2">
        <v>0</v>
      </c>
      <c r="F29" s="2">
        <v>0</v>
      </c>
      <c r="G29" t="s">
        <v>14</v>
      </c>
      <c r="H29">
        <v>67.599999999999994</v>
      </c>
      <c r="I29">
        <v>6.76</v>
      </c>
      <c r="J29">
        <v>20.28</v>
      </c>
      <c r="K29">
        <v>20.28</v>
      </c>
      <c r="L29">
        <v>20.28</v>
      </c>
      <c r="M29" s="6">
        <v>0.7</v>
      </c>
      <c r="N29" s="6">
        <v>0.25</v>
      </c>
      <c r="O29" s="6">
        <v>0.05</v>
      </c>
      <c r="P29" s="10">
        <v>107</v>
      </c>
      <c r="Q29">
        <v>84.2</v>
      </c>
      <c r="R29">
        <v>8.42</v>
      </c>
      <c r="S29">
        <v>25.26</v>
      </c>
      <c r="T29">
        <v>25.26</v>
      </c>
      <c r="U29">
        <v>25.26</v>
      </c>
      <c r="V29" s="6">
        <v>0.375</v>
      </c>
      <c r="W29" s="6">
        <v>0.29166666666666669</v>
      </c>
      <c r="X29" s="6">
        <v>0.33333333333333331</v>
      </c>
      <c r="Y29" s="11">
        <f>VLOOKUP(G29,'[1]historico puntos 2022-2025'!$A$2:$G$19,7,0)</f>
        <v>133</v>
      </c>
      <c r="Z29" t="s">
        <v>39</v>
      </c>
      <c r="AA29">
        <f t="shared" si="2"/>
        <v>27</v>
      </c>
    </row>
    <row r="30" spans="1:27" hidden="1" x14ac:dyDescent="0.3">
      <c r="A30" t="str">
        <f t="shared" si="0"/>
        <v>2023-América</v>
      </c>
      <c r="B30" t="str">
        <f t="shared" si="1"/>
        <v>2023-Xolos</v>
      </c>
      <c r="C30">
        <v>2023</v>
      </c>
      <c r="D30" t="s">
        <v>14</v>
      </c>
      <c r="E30" s="2">
        <v>3</v>
      </c>
      <c r="F30" s="2">
        <v>0</v>
      </c>
      <c r="G30" t="s">
        <v>19</v>
      </c>
      <c r="H30">
        <v>84.2</v>
      </c>
      <c r="I30">
        <v>8.42</v>
      </c>
      <c r="J30">
        <v>25.26</v>
      </c>
      <c r="K30">
        <v>25.26</v>
      </c>
      <c r="L30">
        <v>25.26</v>
      </c>
      <c r="M30" s="6">
        <v>0.65217391304347827</v>
      </c>
      <c r="N30" s="6">
        <v>0.21739130434782608</v>
      </c>
      <c r="O30" s="6">
        <v>0.13043478260869565</v>
      </c>
      <c r="P30" s="10">
        <v>133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s="6">
        <v>0.27777777777777779</v>
      </c>
      <c r="W30" s="6">
        <v>0.22222222222222221</v>
      </c>
      <c r="X30" s="6">
        <v>0.5</v>
      </c>
      <c r="Y30" s="11">
        <f>VLOOKUP(G30,'[1]historico puntos 2022-2025'!$A$2:$G$19,7,0)</f>
        <v>49</v>
      </c>
      <c r="Z30" t="s">
        <v>38</v>
      </c>
      <c r="AA30">
        <f t="shared" si="2"/>
        <v>28</v>
      </c>
    </row>
    <row r="31" spans="1:27" hidden="1" x14ac:dyDescent="0.3">
      <c r="A31" t="str">
        <f t="shared" si="0"/>
        <v>2023-Atlético San Luis</v>
      </c>
      <c r="B31" t="str">
        <f t="shared" si="1"/>
        <v>2023-América</v>
      </c>
      <c r="C31">
        <v>2023</v>
      </c>
      <c r="D31" t="s">
        <v>15</v>
      </c>
      <c r="E31" s="2">
        <v>0</v>
      </c>
      <c r="F31" s="2">
        <v>1</v>
      </c>
      <c r="G31" t="s">
        <v>14</v>
      </c>
      <c r="H31">
        <v>35.85</v>
      </c>
      <c r="I31">
        <v>3.59</v>
      </c>
      <c r="J31">
        <v>10.77</v>
      </c>
      <c r="K31">
        <v>10.77</v>
      </c>
      <c r="L31">
        <v>10.77</v>
      </c>
      <c r="M31" s="6">
        <v>0.68421052631578949</v>
      </c>
      <c r="N31" s="6">
        <v>5.2631578947368418E-2</v>
      </c>
      <c r="O31" s="6">
        <v>0.26315789473684209</v>
      </c>
      <c r="P31" s="10">
        <v>59</v>
      </c>
      <c r="Q31">
        <v>84.2</v>
      </c>
      <c r="R31">
        <v>8.42</v>
      </c>
      <c r="S31">
        <v>25.26</v>
      </c>
      <c r="T31">
        <v>25.26</v>
      </c>
      <c r="U31">
        <v>25.26</v>
      </c>
      <c r="V31" s="6">
        <v>0.375</v>
      </c>
      <c r="W31" s="6">
        <v>0.29166666666666669</v>
      </c>
      <c r="X31" s="6">
        <v>0.33333333333333331</v>
      </c>
      <c r="Y31" s="11">
        <f>VLOOKUP(G31,'[1]historico puntos 2022-2025'!$A$2:$G$19,7,0)</f>
        <v>133</v>
      </c>
      <c r="Z31" t="s">
        <v>40</v>
      </c>
      <c r="AA31">
        <f t="shared" si="2"/>
        <v>29</v>
      </c>
    </row>
    <row r="32" spans="1:27" hidden="1" x14ac:dyDescent="0.3">
      <c r="A32" t="str">
        <f t="shared" si="0"/>
        <v>2023-América</v>
      </c>
      <c r="B32" t="str">
        <f t="shared" si="1"/>
        <v>2023-Santos Laguna</v>
      </c>
      <c r="C32">
        <v>2023</v>
      </c>
      <c r="D32" t="s">
        <v>14</v>
      </c>
      <c r="E32" s="2">
        <v>4</v>
      </c>
      <c r="F32" s="2">
        <v>3</v>
      </c>
      <c r="G32" t="s">
        <v>11</v>
      </c>
      <c r="H32">
        <v>84.2</v>
      </c>
      <c r="I32">
        <v>8.42</v>
      </c>
      <c r="J32">
        <v>25.26</v>
      </c>
      <c r="K32">
        <v>25.26</v>
      </c>
      <c r="L32">
        <v>25.26</v>
      </c>
      <c r="M32" s="6">
        <v>0.65217391304347827</v>
      </c>
      <c r="N32" s="6">
        <v>0.21739130434782608</v>
      </c>
      <c r="O32" s="6">
        <v>0.13043478260869565</v>
      </c>
      <c r="P32" s="10">
        <v>133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s="6">
        <v>0</v>
      </c>
      <c r="W32" s="6">
        <v>0.11764705882352941</v>
      </c>
      <c r="X32" s="6">
        <v>0.88235294117647056</v>
      </c>
      <c r="Y32" s="11">
        <f>VLOOKUP(G32,'[1]historico puntos 2022-2025'!$A$2:$G$19,7,0)</f>
        <v>46</v>
      </c>
      <c r="Z32" t="s">
        <v>38</v>
      </c>
      <c r="AA32">
        <f t="shared" si="2"/>
        <v>30</v>
      </c>
    </row>
    <row r="33" spans="1:27" hidden="1" x14ac:dyDescent="0.3">
      <c r="A33" t="str">
        <f t="shared" si="0"/>
        <v>2023-Mazatlán</v>
      </c>
      <c r="B33" t="str">
        <f t="shared" si="1"/>
        <v>2023-América</v>
      </c>
      <c r="C33">
        <v>2023</v>
      </c>
      <c r="D33" t="s">
        <v>20</v>
      </c>
      <c r="E33" s="2">
        <v>1</v>
      </c>
      <c r="F33" s="2">
        <v>2</v>
      </c>
      <c r="G33" t="s">
        <v>14</v>
      </c>
      <c r="H33">
        <v>35.049999999999997</v>
      </c>
      <c r="I33">
        <v>3.5</v>
      </c>
      <c r="J33">
        <v>10.51</v>
      </c>
      <c r="K33">
        <v>10.51</v>
      </c>
      <c r="L33">
        <v>10.51</v>
      </c>
      <c r="M33" s="6">
        <v>0.29411764705882354</v>
      </c>
      <c r="N33" s="6">
        <v>0.47058823529411764</v>
      </c>
      <c r="O33" s="6">
        <v>0.23529411764705882</v>
      </c>
      <c r="P33" s="10">
        <v>40</v>
      </c>
      <c r="Q33">
        <v>84.2</v>
      </c>
      <c r="R33">
        <v>8.42</v>
      </c>
      <c r="S33">
        <v>25.26</v>
      </c>
      <c r="T33">
        <v>25.26</v>
      </c>
      <c r="U33">
        <v>25.26</v>
      </c>
      <c r="V33" s="6">
        <v>0.375</v>
      </c>
      <c r="W33" s="6">
        <v>0.29166666666666669</v>
      </c>
      <c r="X33" s="6">
        <v>0.33333333333333331</v>
      </c>
      <c r="Y33" s="11">
        <f>VLOOKUP(G33,'[1]historico puntos 2022-2025'!$A$2:$G$19,7,0)</f>
        <v>133</v>
      </c>
      <c r="Z33" t="s">
        <v>40</v>
      </c>
      <c r="AA33">
        <f t="shared" si="2"/>
        <v>31</v>
      </c>
    </row>
    <row r="34" spans="1:27" hidden="1" x14ac:dyDescent="0.3">
      <c r="A34" t="str">
        <f t="shared" si="0"/>
        <v>2023-América</v>
      </c>
      <c r="B34" t="str">
        <f t="shared" si="1"/>
        <v>2023-Pachuca</v>
      </c>
      <c r="C34">
        <v>2023</v>
      </c>
      <c r="D34" t="s">
        <v>14</v>
      </c>
      <c r="E34" s="2">
        <v>4</v>
      </c>
      <c r="F34" s="2">
        <v>0</v>
      </c>
      <c r="G34" t="s">
        <v>0</v>
      </c>
      <c r="H34">
        <v>84.2</v>
      </c>
      <c r="I34">
        <v>8.42</v>
      </c>
      <c r="J34">
        <v>25.26</v>
      </c>
      <c r="K34">
        <v>25.26</v>
      </c>
      <c r="L34">
        <v>25.26</v>
      </c>
      <c r="M34" s="6">
        <v>0.65217391304347827</v>
      </c>
      <c r="N34" s="6">
        <v>0.21739130434782608</v>
      </c>
      <c r="O34" s="6">
        <v>0.13043478260869565</v>
      </c>
      <c r="P34" s="10">
        <v>133</v>
      </c>
      <c r="Q34">
        <v>51.25</v>
      </c>
      <c r="R34">
        <v>5.13</v>
      </c>
      <c r="S34">
        <v>15.38</v>
      </c>
      <c r="T34">
        <v>15.38</v>
      </c>
      <c r="U34">
        <v>15.38</v>
      </c>
      <c r="V34" s="6">
        <v>0.26315789473684209</v>
      </c>
      <c r="W34" s="6">
        <v>0.15789473684210525</v>
      </c>
      <c r="X34" s="6">
        <v>0.57894736842105265</v>
      </c>
      <c r="Y34" s="11">
        <f>VLOOKUP(G34,'[1]historico puntos 2022-2025'!$A$2:$G$19,7,0)</f>
        <v>98</v>
      </c>
      <c r="Z34" t="s">
        <v>38</v>
      </c>
      <c r="AA34">
        <f t="shared" si="2"/>
        <v>32</v>
      </c>
    </row>
    <row r="35" spans="1:27" hidden="1" x14ac:dyDescent="0.3">
      <c r="A35" t="str">
        <f t="shared" si="0"/>
        <v>2023-América</v>
      </c>
      <c r="B35" t="str">
        <f t="shared" si="1"/>
        <v>2023-Pumas</v>
      </c>
      <c r="C35">
        <v>2023</v>
      </c>
      <c r="D35" t="s">
        <v>14</v>
      </c>
      <c r="E35" s="2">
        <v>1</v>
      </c>
      <c r="F35" s="2">
        <v>0</v>
      </c>
      <c r="G35" t="s">
        <v>16</v>
      </c>
      <c r="H35">
        <v>84.2</v>
      </c>
      <c r="I35">
        <v>8.42</v>
      </c>
      <c r="J35">
        <v>25.26</v>
      </c>
      <c r="K35">
        <v>25.26</v>
      </c>
      <c r="L35">
        <v>25.26</v>
      </c>
      <c r="M35" s="6">
        <v>0.65217391304347827</v>
      </c>
      <c r="N35" s="6">
        <v>0.21739130434782608</v>
      </c>
      <c r="O35" s="6">
        <v>0.13043478260869565</v>
      </c>
      <c r="P35" s="10">
        <v>133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s="6">
        <v>0.3</v>
      </c>
      <c r="W35" s="6">
        <v>0.25</v>
      </c>
      <c r="X35" s="6">
        <v>0.45</v>
      </c>
      <c r="Y35" s="11">
        <f>VLOOKUP(G35,'[1]historico puntos 2022-2025'!$A$2:$G$19,7,0)</f>
        <v>75</v>
      </c>
      <c r="Z35" t="s">
        <v>38</v>
      </c>
      <c r="AA35">
        <f t="shared" si="2"/>
        <v>33</v>
      </c>
    </row>
    <row r="36" spans="1:27" hidden="1" x14ac:dyDescent="0.3">
      <c r="A36" t="str">
        <f t="shared" si="0"/>
        <v>2023-Querétaro</v>
      </c>
      <c r="B36" t="str">
        <f t="shared" si="1"/>
        <v>2023-América</v>
      </c>
      <c r="C36">
        <v>2023</v>
      </c>
      <c r="D36" t="s">
        <v>22</v>
      </c>
      <c r="E36" s="2">
        <v>1</v>
      </c>
      <c r="F36" s="2">
        <v>2</v>
      </c>
      <c r="G36" t="s">
        <v>14</v>
      </c>
      <c r="H36">
        <v>21.45</v>
      </c>
      <c r="I36">
        <v>2.14</v>
      </c>
      <c r="J36">
        <v>6.44</v>
      </c>
      <c r="K36">
        <v>6.44</v>
      </c>
      <c r="L36">
        <v>6.44</v>
      </c>
      <c r="M36" s="6">
        <v>0.35294117647058826</v>
      </c>
      <c r="N36" s="6">
        <v>0.11764705882352941</v>
      </c>
      <c r="O36" s="6">
        <v>0.52941176470588236</v>
      </c>
      <c r="P36" s="10">
        <v>64</v>
      </c>
      <c r="Q36">
        <v>84.2</v>
      </c>
      <c r="R36">
        <v>8.42</v>
      </c>
      <c r="S36">
        <v>25.26</v>
      </c>
      <c r="T36">
        <v>25.26</v>
      </c>
      <c r="U36">
        <v>25.26</v>
      </c>
      <c r="V36" s="6">
        <v>0.375</v>
      </c>
      <c r="W36" s="6">
        <v>0.29166666666666669</v>
      </c>
      <c r="X36" s="6">
        <v>0.33333333333333331</v>
      </c>
      <c r="Y36" s="11">
        <f>VLOOKUP(G36,'[1]historico puntos 2022-2025'!$A$2:$G$19,7,0)</f>
        <v>133</v>
      </c>
      <c r="Z36" t="s">
        <v>40</v>
      </c>
      <c r="AA36">
        <f t="shared" si="2"/>
        <v>34</v>
      </c>
    </row>
    <row r="37" spans="1:27" hidden="1" x14ac:dyDescent="0.3">
      <c r="A37" t="str">
        <f t="shared" si="0"/>
        <v>2023-América</v>
      </c>
      <c r="B37" t="str">
        <f t="shared" si="1"/>
        <v>2023-Chivas</v>
      </c>
      <c r="C37">
        <v>2023</v>
      </c>
      <c r="D37" t="s">
        <v>14</v>
      </c>
      <c r="E37" s="2">
        <v>4</v>
      </c>
      <c r="F37" s="2">
        <v>0</v>
      </c>
      <c r="G37" t="s">
        <v>21</v>
      </c>
      <c r="H37">
        <v>84.2</v>
      </c>
      <c r="I37">
        <v>8.42</v>
      </c>
      <c r="J37">
        <v>25.26</v>
      </c>
      <c r="K37">
        <v>25.26</v>
      </c>
      <c r="L37">
        <v>25.26</v>
      </c>
      <c r="M37" s="6">
        <v>0.65217391304347827</v>
      </c>
      <c r="N37" s="6">
        <v>0.21739130434782608</v>
      </c>
      <c r="O37" s="6">
        <v>0.13043478260869565</v>
      </c>
      <c r="P37" s="10">
        <v>133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s="6">
        <v>0.23529411764705882</v>
      </c>
      <c r="W37" s="6">
        <v>0.23529411764705882</v>
      </c>
      <c r="X37" s="6">
        <v>0.52941176470588236</v>
      </c>
      <c r="Y37" s="11">
        <f>VLOOKUP(G37,'[1]historico puntos 2022-2025'!$A$2:$G$19,7,0)</f>
        <v>99</v>
      </c>
      <c r="Z37" t="s">
        <v>38</v>
      </c>
      <c r="AA37">
        <f t="shared" si="2"/>
        <v>35</v>
      </c>
    </row>
    <row r="38" spans="1:27" hidden="1" x14ac:dyDescent="0.3">
      <c r="A38" t="str">
        <f t="shared" si="0"/>
        <v>2023-América</v>
      </c>
      <c r="B38" t="str">
        <f t="shared" si="1"/>
        <v>2023-Necaxa</v>
      </c>
      <c r="C38">
        <v>2023</v>
      </c>
      <c r="D38" t="s">
        <v>14</v>
      </c>
      <c r="E38" s="2">
        <v>3</v>
      </c>
      <c r="F38" s="2">
        <v>2</v>
      </c>
      <c r="G38" t="s">
        <v>4</v>
      </c>
      <c r="H38">
        <v>84.2</v>
      </c>
      <c r="I38">
        <v>8.42</v>
      </c>
      <c r="J38">
        <v>25.26</v>
      </c>
      <c r="K38">
        <v>25.26</v>
      </c>
      <c r="L38">
        <v>25.26</v>
      </c>
      <c r="M38" s="6">
        <v>0.65217391304347827</v>
      </c>
      <c r="N38" s="6">
        <v>0.21739130434782608</v>
      </c>
      <c r="O38" s="6">
        <v>0.13043478260869565</v>
      </c>
      <c r="P38" s="10">
        <v>133</v>
      </c>
      <c r="Q38">
        <v>40</v>
      </c>
      <c r="R38">
        <v>4</v>
      </c>
      <c r="S38">
        <v>12</v>
      </c>
      <c r="T38">
        <v>12</v>
      </c>
      <c r="U38">
        <v>12</v>
      </c>
      <c r="V38" s="6">
        <v>0.27777777777777779</v>
      </c>
      <c r="W38" s="6">
        <v>0.27777777777777779</v>
      </c>
      <c r="X38" s="6">
        <v>0.44444444444444442</v>
      </c>
      <c r="Y38" s="11">
        <f>VLOOKUP(G38,'[1]historico puntos 2022-2025'!$A$2:$G$19,7,0)</f>
        <v>77</v>
      </c>
      <c r="Z38" t="s">
        <v>38</v>
      </c>
      <c r="AA38">
        <f t="shared" si="2"/>
        <v>36</v>
      </c>
    </row>
    <row r="39" spans="1:27" hidden="1" x14ac:dyDescent="0.3">
      <c r="A39" t="str">
        <f t="shared" si="0"/>
        <v>2023-América</v>
      </c>
      <c r="B39" t="str">
        <f t="shared" si="1"/>
        <v>2023-Atlas</v>
      </c>
      <c r="C39">
        <v>2023</v>
      </c>
      <c r="D39" t="s">
        <v>14</v>
      </c>
      <c r="E39" s="2">
        <v>1</v>
      </c>
      <c r="F39" s="2">
        <v>1</v>
      </c>
      <c r="G39" t="s">
        <v>5</v>
      </c>
      <c r="H39">
        <v>84.2</v>
      </c>
      <c r="I39">
        <v>8.42</v>
      </c>
      <c r="J39">
        <v>25.26</v>
      </c>
      <c r="K39">
        <v>25.26</v>
      </c>
      <c r="L39">
        <v>25.26</v>
      </c>
      <c r="M39" s="6">
        <v>0.65217391304347827</v>
      </c>
      <c r="N39" s="6">
        <v>0.21739130434782608</v>
      </c>
      <c r="O39" s="6">
        <v>0.13043478260869565</v>
      </c>
      <c r="P39" s="10">
        <v>133</v>
      </c>
      <c r="Q39">
        <v>30.7</v>
      </c>
      <c r="R39">
        <v>3.07</v>
      </c>
      <c r="S39">
        <v>9.2100000000000009</v>
      </c>
      <c r="T39">
        <v>9.2100000000000009</v>
      </c>
      <c r="U39">
        <v>9.2100000000000009</v>
      </c>
      <c r="V39" s="6">
        <v>0.26315789473684209</v>
      </c>
      <c r="W39" s="6">
        <v>0.31578947368421051</v>
      </c>
      <c r="X39" s="6">
        <v>0.42105263157894735</v>
      </c>
      <c r="Y39" s="11">
        <f>VLOOKUP(G39,'[1]historico puntos 2022-2025'!$A$2:$G$19,7,0)</f>
        <v>60</v>
      </c>
      <c r="Z39" t="s">
        <v>39</v>
      </c>
      <c r="AA39">
        <f t="shared" si="2"/>
        <v>37</v>
      </c>
    </row>
    <row r="40" spans="1:27" hidden="1" x14ac:dyDescent="0.3">
      <c r="A40" t="str">
        <f t="shared" si="0"/>
        <v>2023-América</v>
      </c>
      <c r="B40" t="str">
        <f t="shared" si="1"/>
        <v>2023-Puebla</v>
      </c>
      <c r="C40">
        <v>2023</v>
      </c>
      <c r="D40" t="s">
        <v>14</v>
      </c>
      <c r="E40" s="2">
        <v>3</v>
      </c>
      <c r="F40" s="2">
        <v>0</v>
      </c>
      <c r="G40" t="s">
        <v>1</v>
      </c>
      <c r="H40">
        <v>84.2</v>
      </c>
      <c r="I40">
        <v>8.42</v>
      </c>
      <c r="J40">
        <v>25.26</v>
      </c>
      <c r="K40">
        <v>25.26</v>
      </c>
      <c r="L40">
        <v>25.26</v>
      </c>
      <c r="M40" s="6">
        <v>0.65217391304347827</v>
      </c>
      <c r="N40" s="6">
        <v>0.21739130434782608</v>
      </c>
      <c r="O40" s="6">
        <v>0.13043478260869565</v>
      </c>
      <c r="P40" s="10">
        <v>133</v>
      </c>
      <c r="Q40">
        <v>26.7</v>
      </c>
      <c r="R40">
        <v>2.67</v>
      </c>
      <c r="S40">
        <v>8.01</v>
      </c>
      <c r="T40">
        <v>8.01</v>
      </c>
      <c r="U40">
        <v>8.01</v>
      </c>
      <c r="V40" s="6">
        <v>0.11764705882352941</v>
      </c>
      <c r="W40" s="6">
        <v>0.17647058823529413</v>
      </c>
      <c r="X40" s="6">
        <v>0.70588235294117652</v>
      </c>
      <c r="Y40" s="11">
        <f>VLOOKUP(G40,'[1]historico puntos 2022-2025'!$A$2:$G$19,7,0)</f>
        <v>34</v>
      </c>
      <c r="Z40" t="s">
        <v>38</v>
      </c>
      <c r="AA40">
        <f t="shared" si="2"/>
        <v>38</v>
      </c>
    </row>
    <row r="41" spans="1:27" hidden="1" x14ac:dyDescent="0.3">
      <c r="A41" t="str">
        <f t="shared" si="0"/>
        <v>2023-América</v>
      </c>
      <c r="B41" t="str">
        <f t="shared" si="1"/>
        <v>2023-Juarez</v>
      </c>
      <c r="C41">
        <v>2023</v>
      </c>
      <c r="D41" t="s">
        <v>14</v>
      </c>
      <c r="E41" s="2">
        <v>1</v>
      </c>
      <c r="F41" s="2">
        <v>2</v>
      </c>
      <c r="G41" t="s">
        <v>18</v>
      </c>
      <c r="H41">
        <v>84.2</v>
      </c>
      <c r="I41">
        <v>8.42</v>
      </c>
      <c r="J41">
        <v>25.26</v>
      </c>
      <c r="K41">
        <v>25.26</v>
      </c>
      <c r="L41">
        <v>25.26</v>
      </c>
      <c r="M41" s="6">
        <v>0.65217391304347827</v>
      </c>
      <c r="N41" s="6">
        <v>0.21739130434782608</v>
      </c>
      <c r="O41" s="6">
        <v>0.13043478260869565</v>
      </c>
      <c r="P41" s="10">
        <v>133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s="6">
        <v>0.35294117647058826</v>
      </c>
      <c r="W41" s="6">
        <v>0.17647058823529413</v>
      </c>
      <c r="X41" s="6">
        <v>0.47058823529411764</v>
      </c>
      <c r="Y41" s="11">
        <f>VLOOKUP(G41,'[1]historico puntos 2022-2025'!$A$2:$G$19,7,0)</f>
        <v>55</v>
      </c>
      <c r="Z41" t="s">
        <v>40</v>
      </c>
      <c r="AA41">
        <f t="shared" si="2"/>
        <v>39</v>
      </c>
    </row>
    <row r="42" spans="1:27" hidden="1" x14ac:dyDescent="0.3">
      <c r="A42" t="str">
        <f t="shared" si="0"/>
        <v>2024-Atlas</v>
      </c>
      <c r="B42" t="str">
        <f t="shared" si="1"/>
        <v>2024-Chivas</v>
      </c>
      <c r="C42">
        <v>2024</v>
      </c>
      <c r="D42" t="s">
        <v>5</v>
      </c>
      <c r="E42" s="2">
        <v>0</v>
      </c>
      <c r="F42" s="2">
        <v>1</v>
      </c>
      <c r="G42" t="s">
        <v>21</v>
      </c>
      <c r="H42">
        <v>28.95</v>
      </c>
      <c r="I42">
        <v>2.9</v>
      </c>
      <c r="J42">
        <v>8.68</v>
      </c>
      <c r="K42">
        <v>8.68</v>
      </c>
      <c r="L42">
        <v>8.68</v>
      </c>
      <c r="M42" s="6" t="s">
        <v>37</v>
      </c>
      <c r="N42" s="6" t="s">
        <v>37</v>
      </c>
      <c r="O42" s="6" t="s">
        <v>37</v>
      </c>
      <c r="P42" s="10">
        <v>60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s="6">
        <v>0.23529411764705882</v>
      </c>
      <c r="W42" s="6">
        <v>0.23529411764705882</v>
      </c>
      <c r="X42" s="6">
        <v>0.52941176470588236</v>
      </c>
      <c r="Y42" s="11">
        <f>VLOOKUP(G42,'[1]historico puntos 2022-2025'!$A$2:$G$19,7,0)</f>
        <v>99</v>
      </c>
      <c r="Z42" t="s">
        <v>40</v>
      </c>
      <c r="AA42">
        <f t="shared" si="2"/>
        <v>40</v>
      </c>
    </row>
    <row r="43" spans="1:27" hidden="1" x14ac:dyDescent="0.3">
      <c r="A43" t="str">
        <f t="shared" si="0"/>
        <v>2024-Cruz Azul</v>
      </c>
      <c r="B43" t="str">
        <f t="shared" si="1"/>
        <v>2024-Atlas</v>
      </c>
      <c r="C43">
        <v>2024</v>
      </c>
      <c r="D43" t="s">
        <v>10</v>
      </c>
      <c r="E43" s="2">
        <v>2</v>
      </c>
      <c r="F43" s="2">
        <v>2</v>
      </c>
      <c r="G43" t="s">
        <v>5</v>
      </c>
      <c r="H43">
        <v>78.849999999999994</v>
      </c>
      <c r="I43">
        <v>7.89</v>
      </c>
      <c r="J43">
        <v>23.66</v>
      </c>
      <c r="K43">
        <v>23.66</v>
      </c>
      <c r="L43">
        <v>23.66</v>
      </c>
      <c r="M43" s="6">
        <v>0.7142857142857143</v>
      </c>
      <c r="N43" s="6">
        <v>0.23809523809523808</v>
      </c>
      <c r="O43" s="6">
        <v>4.7619047619047616E-2</v>
      </c>
      <c r="P43" s="10">
        <v>107</v>
      </c>
      <c r="Q43">
        <v>28.95</v>
      </c>
      <c r="R43">
        <v>2.9</v>
      </c>
      <c r="S43">
        <v>8.68</v>
      </c>
      <c r="T43">
        <v>8.68</v>
      </c>
      <c r="U43">
        <v>8.68</v>
      </c>
      <c r="V43" s="6">
        <v>0.26315789473684209</v>
      </c>
      <c r="W43" s="6">
        <v>0.31578947368421051</v>
      </c>
      <c r="X43" s="6">
        <v>0.42105263157894735</v>
      </c>
      <c r="Y43" s="11">
        <f>VLOOKUP(G43,'[1]historico puntos 2022-2025'!$A$2:$G$19,7,0)</f>
        <v>60</v>
      </c>
      <c r="Z43" t="s">
        <v>39</v>
      </c>
      <c r="AA43">
        <f t="shared" si="2"/>
        <v>41</v>
      </c>
    </row>
    <row r="44" spans="1:27" hidden="1" x14ac:dyDescent="0.3">
      <c r="A44" t="str">
        <f t="shared" si="0"/>
        <v>2024-Atlas</v>
      </c>
      <c r="B44" t="str">
        <f t="shared" si="1"/>
        <v>2024-Atlético San Luis</v>
      </c>
      <c r="C44">
        <v>2024</v>
      </c>
      <c r="D44" t="s">
        <v>5</v>
      </c>
      <c r="E44" s="2">
        <v>2</v>
      </c>
      <c r="F44" s="2">
        <v>1</v>
      </c>
      <c r="G44" t="s">
        <v>15</v>
      </c>
      <c r="H44">
        <v>28.95</v>
      </c>
      <c r="I44">
        <v>2.9</v>
      </c>
      <c r="J44">
        <v>8.68</v>
      </c>
      <c r="K44">
        <v>8.68</v>
      </c>
      <c r="L44">
        <v>8.68</v>
      </c>
      <c r="M44" s="6" t="s">
        <v>37</v>
      </c>
      <c r="N44" s="6" t="s">
        <v>37</v>
      </c>
      <c r="O44" s="6" t="s">
        <v>37</v>
      </c>
      <c r="P44" s="10">
        <v>60</v>
      </c>
      <c r="Q44">
        <v>45.95</v>
      </c>
      <c r="R44">
        <v>4.5999999999999996</v>
      </c>
      <c r="S44">
        <v>13.84</v>
      </c>
      <c r="T44">
        <v>13.84</v>
      </c>
      <c r="U44">
        <v>13.84</v>
      </c>
      <c r="V44" s="6">
        <v>0.21052631578947367</v>
      </c>
      <c r="W44" s="6">
        <v>0.15789473684210525</v>
      </c>
      <c r="X44" s="6">
        <v>0.63157894736842102</v>
      </c>
      <c r="Y44" s="11">
        <f>VLOOKUP(G44,'[1]historico puntos 2022-2025'!$A$2:$G$19,7,0)</f>
        <v>59</v>
      </c>
      <c r="Z44" t="s">
        <v>38</v>
      </c>
      <c r="AA44">
        <f t="shared" si="2"/>
        <v>42</v>
      </c>
    </row>
    <row r="45" spans="1:27" hidden="1" x14ac:dyDescent="0.3">
      <c r="A45" t="str">
        <f t="shared" si="0"/>
        <v>2024-Toluca</v>
      </c>
      <c r="B45" t="str">
        <f t="shared" si="1"/>
        <v>2024-Atlas</v>
      </c>
      <c r="C45">
        <v>2024</v>
      </c>
      <c r="D45" t="s">
        <v>2</v>
      </c>
      <c r="E45" s="2">
        <v>4</v>
      </c>
      <c r="F45" s="2">
        <v>1</v>
      </c>
      <c r="G45" t="s">
        <v>5</v>
      </c>
      <c r="H45">
        <v>77.45</v>
      </c>
      <c r="I45">
        <v>7.75</v>
      </c>
      <c r="J45">
        <v>23.24</v>
      </c>
      <c r="K45">
        <v>23.24</v>
      </c>
      <c r="L45">
        <v>23.24</v>
      </c>
      <c r="M45" s="6">
        <v>0.76190476190476186</v>
      </c>
      <c r="N45" s="6">
        <v>0.19047619047619047</v>
      </c>
      <c r="O45" s="6">
        <v>4.7619047619047616E-2</v>
      </c>
      <c r="P45" s="10">
        <v>118</v>
      </c>
      <c r="Q45">
        <v>28.95</v>
      </c>
      <c r="R45">
        <v>2.9</v>
      </c>
      <c r="S45">
        <v>8.68</v>
      </c>
      <c r="T45">
        <v>8.68</v>
      </c>
      <c r="U45">
        <v>8.68</v>
      </c>
      <c r="V45" s="6">
        <v>0.26315789473684209</v>
      </c>
      <c r="W45" s="6">
        <v>0.31578947368421051</v>
      </c>
      <c r="X45" s="6">
        <v>0.42105263157894735</v>
      </c>
      <c r="Y45" s="11">
        <f>VLOOKUP(G45,'[1]historico puntos 2022-2025'!$A$2:$G$19,7,0)</f>
        <v>60</v>
      </c>
      <c r="Z45" t="s">
        <v>38</v>
      </c>
      <c r="AA45">
        <f t="shared" si="2"/>
        <v>43</v>
      </c>
    </row>
    <row r="46" spans="1:27" hidden="1" x14ac:dyDescent="0.3">
      <c r="A46" t="str">
        <f t="shared" si="0"/>
        <v>2024-Puebla</v>
      </c>
      <c r="B46" t="str">
        <f t="shared" si="1"/>
        <v>2024-Atlas</v>
      </c>
      <c r="C46">
        <v>2024</v>
      </c>
      <c r="D46" t="s">
        <v>1</v>
      </c>
      <c r="E46" s="2">
        <v>2</v>
      </c>
      <c r="F46" s="2">
        <v>2</v>
      </c>
      <c r="G46" t="s">
        <v>5</v>
      </c>
      <c r="H46">
        <v>24.1</v>
      </c>
      <c r="I46">
        <v>2.41</v>
      </c>
      <c r="J46">
        <v>7.23</v>
      </c>
      <c r="K46">
        <v>7.23</v>
      </c>
      <c r="L46">
        <v>7.23</v>
      </c>
      <c r="M46" s="6">
        <v>0.23529411764705882</v>
      </c>
      <c r="N46" s="6">
        <v>0.11764705882352941</v>
      </c>
      <c r="O46" s="6">
        <v>0.6470588235294118</v>
      </c>
      <c r="P46" s="10">
        <v>34</v>
      </c>
      <c r="Q46">
        <v>28.95</v>
      </c>
      <c r="R46">
        <v>2.9</v>
      </c>
      <c r="S46">
        <v>8.68</v>
      </c>
      <c r="T46">
        <v>8.68</v>
      </c>
      <c r="U46">
        <v>8.68</v>
      </c>
      <c r="V46" s="6">
        <v>0.26315789473684209</v>
      </c>
      <c r="W46" s="6">
        <v>0.31578947368421051</v>
      </c>
      <c r="X46" s="6">
        <v>0.42105263157894735</v>
      </c>
      <c r="Y46" s="11">
        <f>VLOOKUP(G46,'[1]historico puntos 2022-2025'!$A$2:$G$19,7,0)</f>
        <v>60</v>
      </c>
      <c r="Z46" t="s">
        <v>39</v>
      </c>
      <c r="AA46">
        <f t="shared" si="2"/>
        <v>44</v>
      </c>
    </row>
    <row r="47" spans="1:27" x14ac:dyDescent="0.3">
      <c r="A47" t="str">
        <f t="shared" si="0"/>
        <v>2024-Tigres</v>
      </c>
      <c r="B47" t="str">
        <f t="shared" si="1"/>
        <v>2024-Atlas</v>
      </c>
      <c r="C47">
        <v>2024</v>
      </c>
      <c r="D47" t="s">
        <v>17</v>
      </c>
      <c r="E47" s="2">
        <v>1</v>
      </c>
      <c r="F47" s="2">
        <v>1</v>
      </c>
      <c r="G47" t="s">
        <v>5</v>
      </c>
      <c r="H47">
        <v>67</v>
      </c>
      <c r="I47">
        <v>6.7</v>
      </c>
      <c r="J47">
        <v>20.100000000000001</v>
      </c>
      <c r="K47">
        <v>20.100000000000001</v>
      </c>
      <c r="L47">
        <v>20.100000000000001</v>
      </c>
      <c r="M47" s="6">
        <v>0.7</v>
      </c>
      <c r="N47" s="6">
        <v>0.25</v>
      </c>
      <c r="O47" s="6">
        <v>0.05</v>
      </c>
      <c r="P47" s="10">
        <v>107</v>
      </c>
      <c r="Q47">
        <v>28.95</v>
      </c>
      <c r="R47">
        <v>2.9</v>
      </c>
      <c r="S47">
        <v>8.68</v>
      </c>
      <c r="T47">
        <v>8.68</v>
      </c>
      <c r="U47">
        <v>8.68</v>
      </c>
      <c r="V47" s="6">
        <v>0.26315789473684209</v>
      </c>
      <c r="W47" s="6">
        <v>0.31578947368421051</v>
      </c>
      <c r="X47" s="6">
        <v>0.42105263157894735</v>
      </c>
      <c r="Y47" s="11">
        <f>VLOOKUP(G47,'[1]historico puntos 2022-2025'!$A$2:$G$19,7,0)</f>
        <v>60</v>
      </c>
      <c r="Z47" t="s">
        <v>39</v>
      </c>
      <c r="AA47">
        <f t="shared" si="2"/>
        <v>45</v>
      </c>
    </row>
    <row r="48" spans="1:27" hidden="1" x14ac:dyDescent="0.3">
      <c r="A48" t="str">
        <f t="shared" si="0"/>
        <v>2024-Atlas</v>
      </c>
      <c r="B48" t="str">
        <f t="shared" si="1"/>
        <v>2024-León</v>
      </c>
      <c r="C48">
        <v>2024</v>
      </c>
      <c r="D48" t="s">
        <v>5</v>
      </c>
      <c r="E48" s="2">
        <v>0</v>
      </c>
      <c r="F48" s="2">
        <v>1</v>
      </c>
      <c r="G48" t="s">
        <v>36</v>
      </c>
      <c r="H48">
        <v>28.95</v>
      </c>
      <c r="I48">
        <v>2.9</v>
      </c>
      <c r="J48">
        <v>8.68</v>
      </c>
      <c r="K48">
        <v>8.68</v>
      </c>
      <c r="L48">
        <v>8.68</v>
      </c>
      <c r="M48" s="6" t="s">
        <v>37</v>
      </c>
      <c r="N48" s="6" t="s">
        <v>37</v>
      </c>
      <c r="O48" s="6" t="s">
        <v>37</v>
      </c>
      <c r="P48" s="10">
        <v>60</v>
      </c>
      <c r="Q48">
        <v>29.55</v>
      </c>
      <c r="R48">
        <v>2.96</v>
      </c>
      <c r="S48">
        <v>8.8699999999999992</v>
      </c>
      <c r="T48">
        <v>8.8699999999999992</v>
      </c>
      <c r="U48">
        <v>8.8699999999999992</v>
      </c>
      <c r="V48" s="6">
        <v>0.27777777777777779</v>
      </c>
      <c r="W48" s="6">
        <v>0.27777777777777779</v>
      </c>
      <c r="X48" s="6">
        <v>0.44444444444444442</v>
      </c>
      <c r="Y48" s="11">
        <f>VLOOKUP(G48,'[1]historico puntos 2022-2025'!$A$2:$G$19,7,0)</f>
        <v>87</v>
      </c>
      <c r="Z48" t="s">
        <v>40</v>
      </c>
      <c r="AA48">
        <f t="shared" si="2"/>
        <v>46</v>
      </c>
    </row>
    <row r="49" spans="1:27" hidden="1" x14ac:dyDescent="0.3">
      <c r="A49" t="str">
        <f t="shared" si="0"/>
        <v>2024-Atlas</v>
      </c>
      <c r="B49" t="str">
        <f t="shared" si="1"/>
        <v>2024-Pumas</v>
      </c>
      <c r="C49">
        <v>2024</v>
      </c>
      <c r="D49" t="s">
        <v>5</v>
      </c>
      <c r="E49" s="2">
        <v>0</v>
      </c>
      <c r="F49" s="2">
        <v>0</v>
      </c>
      <c r="G49" t="s">
        <v>16</v>
      </c>
      <c r="H49">
        <v>28.95</v>
      </c>
      <c r="I49">
        <v>2.9</v>
      </c>
      <c r="J49">
        <v>8.68</v>
      </c>
      <c r="K49">
        <v>8.68</v>
      </c>
      <c r="L49">
        <v>8.68</v>
      </c>
      <c r="M49" s="6" t="s">
        <v>37</v>
      </c>
      <c r="N49" s="6" t="s">
        <v>37</v>
      </c>
      <c r="O49" s="6" t="s">
        <v>37</v>
      </c>
      <c r="P49" s="10">
        <v>60</v>
      </c>
      <c r="Q49">
        <v>47.6</v>
      </c>
      <c r="R49">
        <v>4.76</v>
      </c>
      <c r="S49">
        <v>14.28</v>
      </c>
      <c r="T49">
        <v>14.28</v>
      </c>
      <c r="U49">
        <v>14.28</v>
      </c>
      <c r="V49" s="6">
        <v>0.3</v>
      </c>
      <c r="W49" s="6">
        <v>0.25</v>
      </c>
      <c r="X49" s="6">
        <v>0.45</v>
      </c>
      <c r="Y49" s="11">
        <f>VLOOKUP(G49,'[1]historico puntos 2022-2025'!$A$2:$G$19,7,0)</f>
        <v>75</v>
      </c>
      <c r="Z49" t="s">
        <v>39</v>
      </c>
      <c r="AA49">
        <f t="shared" si="2"/>
        <v>47</v>
      </c>
    </row>
    <row r="50" spans="1:27" hidden="1" x14ac:dyDescent="0.3">
      <c r="A50" t="str">
        <f t="shared" si="0"/>
        <v>2024-Mazatlán</v>
      </c>
      <c r="B50" t="str">
        <f t="shared" si="1"/>
        <v>2024-Atlas</v>
      </c>
      <c r="C50">
        <v>2024</v>
      </c>
      <c r="D50" t="s">
        <v>20</v>
      </c>
      <c r="E50" s="2">
        <v>2</v>
      </c>
      <c r="F50" s="2">
        <v>0</v>
      </c>
      <c r="G50" t="s">
        <v>5</v>
      </c>
      <c r="H50">
        <v>31.45</v>
      </c>
      <c r="I50">
        <v>3.15</v>
      </c>
      <c r="J50">
        <v>9.44</v>
      </c>
      <c r="K50">
        <v>9.44</v>
      </c>
      <c r="L50">
        <v>9.44</v>
      </c>
      <c r="M50" s="6">
        <v>0.29411764705882354</v>
      </c>
      <c r="N50" s="6">
        <v>0.47058823529411764</v>
      </c>
      <c r="O50" s="6">
        <v>0.23529411764705882</v>
      </c>
      <c r="P50" s="10">
        <v>40</v>
      </c>
      <c r="Q50">
        <v>28.95</v>
      </c>
      <c r="R50">
        <v>2.9</v>
      </c>
      <c r="S50">
        <v>8.68</v>
      </c>
      <c r="T50">
        <v>8.68</v>
      </c>
      <c r="U50">
        <v>8.68</v>
      </c>
      <c r="V50" s="6">
        <v>0.26315789473684209</v>
      </c>
      <c r="W50" s="6">
        <v>0.31578947368421051</v>
      </c>
      <c r="X50" s="6">
        <v>0.42105263157894735</v>
      </c>
      <c r="Y50" s="11">
        <f>VLOOKUP(G50,'[1]historico puntos 2022-2025'!$A$2:$G$19,7,0)</f>
        <v>60</v>
      </c>
      <c r="Z50" t="s">
        <v>38</v>
      </c>
      <c r="AA50">
        <f t="shared" si="2"/>
        <v>48</v>
      </c>
    </row>
    <row r="51" spans="1:27" hidden="1" x14ac:dyDescent="0.3">
      <c r="A51" t="str">
        <f t="shared" si="0"/>
        <v>2024-Atlas</v>
      </c>
      <c r="B51" t="str">
        <f t="shared" si="1"/>
        <v>2024-Santos Laguna</v>
      </c>
      <c r="C51">
        <v>2024</v>
      </c>
      <c r="D51" t="s">
        <v>5</v>
      </c>
      <c r="E51" s="2">
        <v>3</v>
      </c>
      <c r="F51" s="2">
        <v>0</v>
      </c>
      <c r="G51" t="s">
        <v>11</v>
      </c>
      <c r="H51">
        <v>28.95</v>
      </c>
      <c r="I51">
        <v>2.9</v>
      </c>
      <c r="J51">
        <v>8.68</v>
      </c>
      <c r="K51">
        <v>8.68</v>
      </c>
      <c r="L51">
        <v>8.68</v>
      </c>
      <c r="M51" s="6" t="s">
        <v>37</v>
      </c>
      <c r="N51" s="6" t="s">
        <v>37</v>
      </c>
      <c r="O51" s="6" t="s">
        <v>37</v>
      </c>
      <c r="P51" s="10">
        <v>60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s="6">
        <v>0</v>
      </c>
      <c r="W51" s="6">
        <v>0.11764705882352941</v>
      </c>
      <c r="X51" s="6">
        <v>0.88235294117647056</v>
      </c>
      <c r="Y51" s="11">
        <f>VLOOKUP(G51,'[1]historico puntos 2022-2025'!$A$2:$G$19,7,0)</f>
        <v>46</v>
      </c>
      <c r="Z51" t="s">
        <v>38</v>
      </c>
      <c r="AA51">
        <f t="shared" si="2"/>
        <v>49</v>
      </c>
    </row>
    <row r="52" spans="1:27" hidden="1" x14ac:dyDescent="0.3">
      <c r="A52" t="str">
        <f t="shared" si="0"/>
        <v>2024-Pachuca</v>
      </c>
      <c r="B52" t="str">
        <f t="shared" si="1"/>
        <v>2024-Atlas</v>
      </c>
      <c r="C52">
        <v>2024</v>
      </c>
      <c r="D52" t="s">
        <v>0</v>
      </c>
      <c r="E52" s="2">
        <v>4</v>
      </c>
      <c r="F52" s="2">
        <v>3</v>
      </c>
      <c r="G52" t="s">
        <v>5</v>
      </c>
      <c r="H52">
        <v>56.6</v>
      </c>
      <c r="I52">
        <v>5.66</v>
      </c>
      <c r="J52">
        <v>16.98</v>
      </c>
      <c r="K52">
        <v>16.98</v>
      </c>
      <c r="L52">
        <v>16.98</v>
      </c>
      <c r="M52" s="6">
        <v>0.3888888888888889</v>
      </c>
      <c r="N52" s="6">
        <v>0.33333333333333331</v>
      </c>
      <c r="O52" s="6">
        <v>0.27777777777777779</v>
      </c>
      <c r="P52" s="10">
        <v>98</v>
      </c>
      <c r="Q52">
        <v>28.95</v>
      </c>
      <c r="R52">
        <v>2.9</v>
      </c>
      <c r="S52">
        <v>8.68</v>
      </c>
      <c r="T52">
        <v>8.68</v>
      </c>
      <c r="U52">
        <v>8.68</v>
      </c>
      <c r="V52" s="6">
        <v>0.26315789473684209</v>
      </c>
      <c r="W52" s="6">
        <v>0.31578947368421051</v>
      </c>
      <c r="X52" s="6">
        <v>0.42105263157894735</v>
      </c>
      <c r="Y52" s="11">
        <f>VLOOKUP(G52,'[1]historico puntos 2022-2025'!$A$2:$G$19,7,0)</f>
        <v>60</v>
      </c>
      <c r="Z52" t="s">
        <v>38</v>
      </c>
      <c r="AA52">
        <f t="shared" si="2"/>
        <v>50</v>
      </c>
    </row>
    <row r="53" spans="1:27" hidden="1" x14ac:dyDescent="0.3">
      <c r="A53" t="str">
        <f t="shared" si="0"/>
        <v>2024-Atlas</v>
      </c>
      <c r="B53" t="str">
        <f t="shared" si="1"/>
        <v>2024-Xolos</v>
      </c>
      <c r="C53">
        <v>2024</v>
      </c>
      <c r="D53" t="s">
        <v>5</v>
      </c>
      <c r="E53" s="2">
        <v>0</v>
      </c>
      <c r="F53" s="2">
        <v>0</v>
      </c>
      <c r="G53" t="s">
        <v>19</v>
      </c>
      <c r="H53">
        <v>28.95</v>
      </c>
      <c r="I53">
        <v>2.9</v>
      </c>
      <c r="J53">
        <v>8.68</v>
      </c>
      <c r="K53">
        <v>8.68</v>
      </c>
      <c r="L53">
        <v>8.68</v>
      </c>
      <c r="M53" s="6" t="s">
        <v>37</v>
      </c>
      <c r="N53" s="6" t="s">
        <v>37</v>
      </c>
      <c r="O53" s="6" t="s">
        <v>37</v>
      </c>
      <c r="P53" s="10">
        <v>60</v>
      </c>
      <c r="Q53">
        <v>39.15</v>
      </c>
      <c r="R53">
        <v>3.92</v>
      </c>
      <c r="S53">
        <v>11.75</v>
      </c>
      <c r="T53">
        <v>11.75</v>
      </c>
      <c r="U53">
        <v>11.75</v>
      </c>
      <c r="V53" s="6">
        <v>0.27777777777777779</v>
      </c>
      <c r="W53" s="6">
        <v>0.22222222222222221</v>
      </c>
      <c r="X53" s="6">
        <v>0.5</v>
      </c>
      <c r="Y53" s="11">
        <f>VLOOKUP(G53,'[1]historico puntos 2022-2025'!$A$2:$G$19,7,0)</f>
        <v>49</v>
      </c>
      <c r="Z53" t="s">
        <v>39</v>
      </c>
      <c r="AA53">
        <f t="shared" si="2"/>
        <v>51</v>
      </c>
    </row>
    <row r="54" spans="1:27" hidden="1" x14ac:dyDescent="0.3">
      <c r="A54" t="str">
        <f t="shared" si="0"/>
        <v>2024-Necaxa</v>
      </c>
      <c r="B54" t="str">
        <f t="shared" si="1"/>
        <v>2024-Atlas</v>
      </c>
      <c r="C54" s="1">
        <v>2024</v>
      </c>
      <c r="D54" t="s">
        <v>4</v>
      </c>
      <c r="E54" s="2">
        <v>2</v>
      </c>
      <c r="F54" s="2">
        <v>1</v>
      </c>
      <c r="G54" t="s">
        <v>5</v>
      </c>
      <c r="H54">
        <v>38.5</v>
      </c>
      <c r="I54">
        <v>3.85</v>
      </c>
      <c r="J54">
        <v>11.55</v>
      </c>
      <c r="K54">
        <v>11.55</v>
      </c>
      <c r="L54">
        <v>11.55</v>
      </c>
      <c r="M54" s="6">
        <v>0.44444444444444442</v>
      </c>
      <c r="N54" s="6">
        <v>0.22222222222222221</v>
      </c>
      <c r="O54" s="6">
        <v>0.33333333333333331</v>
      </c>
      <c r="P54" s="10">
        <v>77</v>
      </c>
      <c r="Q54">
        <v>28.95</v>
      </c>
      <c r="R54">
        <v>2.9</v>
      </c>
      <c r="S54">
        <v>8.68</v>
      </c>
      <c r="T54">
        <v>8.68</v>
      </c>
      <c r="U54">
        <v>8.68</v>
      </c>
      <c r="V54" s="6">
        <v>0.26315789473684209</v>
      </c>
      <c r="W54" s="6">
        <v>0.31578947368421051</v>
      </c>
      <c r="X54" s="6">
        <v>0.42105263157894735</v>
      </c>
      <c r="Y54" s="11">
        <f>VLOOKUP(G54,'[1]historico puntos 2022-2025'!$A$2:$G$19,7,0)</f>
        <v>60</v>
      </c>
      <c r="Z54" t="s">
        <v>38</v>
      </c>
      <c r="AA54">
        <f t="shared" si="2"/>
        <v>52</v>
      </c>
    </row>
    <row r="55" spans="1:27" hidden="1" x14ac:dyDescent="0.3">
      <c r="A55" t="str">
        <f t="shared" si="0"/>
        <v>2023-Pumas</v>
      </c>
      <c r="B55" t="str">
        <f t="shared" si="1"/>
        <v>2023-Atlas</v>
      </c>
      <c r="C55">
        <v>2023</v>
      </c>
      <c r="D55" t="s">
        <v>16</v>
      </c>
      <c r="E55" s="2">
        <v>3</v>
      </c>
      <c r="F55" s="2">
        <v>0</v>
      </c>
      <c r="G55" t="s">
        <v>5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s="6">
        <v>0.5</v>
      </c>
      <c r="N55" s="6">
        <v>0.16666666666666666</v>
      </c>
      <c r="O55" s="6">
        <v>0.33333333333333331</v>
      </c>
      <c r="P55" s="10">
        <v>75</v>
      </c>
      <c r="Q55">
        <v>30.7</v>
      </c>
      <c r="R55">
        <v>3.07</v>
      </c>
      <c r="S55">
        <v>9.2100000000000009</v>
      </c>
      <c r="T55">
        <v>9.2100000000000009</v>
      </c>
      <c r="U55">
        <v>9.2100000000000009</v>
      </c>
      <c r="V55" s="6">
        <v>0.26315789473684209</v>
      </c>
      <c r="W55" s="6">
        <v>0.31578947368421051</v>
      </c>
      <c r="X55" s="6">
        <v>0.42105263157894735</v>
      </c>
      <c r="Y55" s="11">
        <f>VLOOKUP(G55,'[1]historico puntos 2022-2025'!$A$2:$G$19,7,0)</f>
        <v>60</v>
      </c>
      <c r="Z55" t="s">
        <v>38</v>
      </c>
      <c r="AA55">
        <f t="shared" si="2"/>
        <v>53</v>
      </c>
    </row>
    <row r="56" spans="1:27" hidden="1" x14ac:dyDescent="0.3">
      <c r="A56" t="str">
        <f t="shared" si="0"/>
        <v>2023-Atlas</v>
      </c>
      <c r="B56" t="str">
        <f t="shared" si="1"/>
        <v>2023-Pachuca</v>
      </c>
      <c r="C56">
        <v>2023</v>
      </c>
      <c r="D56" t="s">
        <v>5</v>
      </c>
      <c r="E56" s="2">
        <v>0</v>
      </c>
      <c r="F56" s="2">
        <v>2</v>
      </c>
      <c r="G56" t="s">
        <v>0</v>
      </c>
      <c r="H56">
        <v>30.7</v>
      </c>
      <c r="I56">
        <v>3.07</v>
      </c>
      <c r="J56">
        <v>9.2100000000000009</v>
      </c>
      <c r="K56">
        <v>9.2100000000000009</v>
      </c>
      <c r="L56">
        <v>9.2100000000000009</v>
      </c>
      <c r="M56" s="6" t="s">
        <v>37</v>
      </c>
      <c r="N56" s="6" t="s">
        <v>37</v>
      </c>
      <c r="O56" s="6" t="s">
        <v>37</v>
      </c>
      <c r="P56" s="10">
        <v>60</v>
      </c>
      <c r="Q56">
        <v>51.25</v>
      </c>
      <c r="R56">
        <v>5.13</v>
      </c>
      <c r="S56">
        <v>15.38</v>
      </c>
      <c r="T56">
        <v>15.38</v>
      </c>
      <c r="U56">
        <v>15.38</v>
      </c>
      <c r="V56" s="6">
        <v>0.26315789473684209</v>
      </c>
      <c r="W56" s="6">
        <v>0.15789473684210525</v>
      </c>
      <c r="X56" s="6">
        <v>0.57894736842105265</v>
      </c>
      <c r="Y56" s="11">
        <f>VLOOKUP(G56,'[1]historico puntos 2022-2025'!$A$2:$G$19,7,0)</f>
        <v>98</v>
      </c>
      <c r="Z56" t="s">
        <v>40</v>
      </c>
      <c r="AA56">
        <f t="shared" si="2"/>
        <v>54</v>
      </c>
    </row>
    <row r="57" spans="1:27" hidden="1" x14ac:dyDescent="0.3">
      <c r="A57" t="str">
        <f t="shared" si="0"/>
        <v>2023-Xolos</v>
      </c>
      <c r="B57" t="str">
        <f t="shared" si="1"/>
        <v>2023-Atlas</v>
      </c>
      <c r="C57">
        <v>2023</v>
      </c>
      <c r="D57" t="s">
        <v>19</v>
      </c>
      <c r="E57" s="2">
        <v>2</v>
      </c>
      <c r="F57" s="2">
        <v>0</v>
      </c>
      <c r="G57" t="s">
        <v>5</v>
      </c>
      <c r="H57">
        <v>38.299999999999997</v>
      </c>
      <c r="I57">
        <v>3.83</v>
      </c>
      <c r="J57">
        <v>11.49</v>
      </c>
      <c r="K57">
        <v>11.49</v>
      </c>
      <c r="L57">
        <v>11.49</v>
      </c>
      <c r="M57" s="6">
        <v>0.55000000000000004</v>
      </c>
      <c r="N57" s="6">
        <v>0.15</v>
      </c>
      <c r="O57" s="6">
        <v>0.3</v>
      </c>
      <c r="P57" s="10">
        <v>49</v>
      </c>
      <c r="Q57">
        <v>30.7</v>
      </c>
      <c r="R57">
        <v>3.07</v>
      </c>
      <c r="S57">
        <v>9.2100000000000009</v>
      </c>
      <c r="T57">
        <v>9.2100000000000009</v>
      </c>
      <c r="U57">
        <v>9.2100000000000009</v>
      </c>
      <c r="V57" s="6">
        <v>0.26315789473684209</v>
      </c>
      <c r="W57" s="6">
        <v>0.31578947368421051</v>
      </c>
      <c r="X57" s="6">
        <v>0.42105263157894735</v>
      </c>
      <c r="Y57" s="11">
        <f>VLOOKUP(G57,'[1]historico puntos 2022-2025'!$A$2:$G$19,7,0)</f>
        <v>60</v>
      </c>
      <c r="Z57" t="s">
        <v>38</v>
      </c>
      <c r="AA57">
        <f t="shared" si="2"/>
        <v>55</v>
      </c>
    </row>
    <row r="58" spans="1:27" hidden="1" x14ac:dyDescent="0.3">
      <c r="A58" t="str">
        <f t="shared" si="0"/>
        <v>2023-León</v>
      </c>
      <c r="B58" t="str">
        <f t="shared" si="1"/>
        <v>2023-Atlas</v>
      </c>
      <c r="C58">
        <v>2023</v>
      </c>
      <c r="D58" t="s">
        <v>36</v>
      </c>
      <c r="E58" s="2">
        <v>1</v>
      </c>
      <c r="F58" s="2">
        <v>1</v>
      </c>
      <c r="G58" t="s">
        <v>5</v>
      </c>
      <c r="H58">
        <v>41.5</v>
      </c>
      <c r="I58">
        <v>4.1500000000000004</v>
      </c>
      <c r="J58">
        <v>12.45</v>
      </c>
      <c r="K58">
        <v>12.45</v>
      </c>
      <c r="L58">
        <v>12.45</v>
      </c>
      <c r="M58" s="6">
        <v>0.3888888888888889</v>
      </c>
      <c r="N58" s="6">
        <v>0.3888888888888889</v>
      </c>
      <c r="O58" s="6">
        <v>0.22222222222222221</v>
      </c>
      <c r="P58" s="10">
        <v>87</v>
      </c>
      <c r="Q58">
        <v>30.7</v>
      </c>
      <c r="R58">
        <v>3.07</v>
      </c>
      <c r="S58">
        <v>9.2100000000000009</v>
      </c>
      <c r="T58">
        <v>9.2100000000000009</v>
      </c>
      <c r="U58">
        <v>9.2100000000000009</v>
      </c>
      <c r="V58" s="6">
        <v>0.26315789473684209</v>
      </c>
      <c r="W58" s="6">
        <v>0.31578947368421051</v>
      </c>
      <c r="X58" s="6">
        <v>0.42105263157894735</v>
      </c>
      <c r="Y58" s="11">
        <f>VLOOKUP(G58,'[1]historico puntos 2022-2025'!$A$2:$G$19,7,0)</f>
        <v>60</v>
      </c>
      <c r="Z58" t="s">
        <v>39</v>
      </c>
      <c r="AA58">
        <f t="shared" si="2"/>
        <v>56</v>
      </c>
    </row>
    <row r="59" spans="1:27" hidden="1" x14ac:dyDescent="0.3">
      <c r="A59" t="str">
        <f t="shared" si="0"/>
        <v>2023-Chivas</v>
      </c>
      <c r="B59" t="str">
        <f t="shared" si="1"/>
        <v>2023-Atlas</v>
      </c>
      <c r="C59">
        <v>2023</v>
      </c>
      <c r="D59" t="s">
        <v>21</v>
      </c>
      <c r="E59" s="2">
        <v>4</v>
      </c>
      <c r="F59" s="2">
        <v>1</v>
      </c>
      <c r="G59" t="s">
        <v>5</v>
      </c>
      <c r="H59">
        <v>69.7</v>
      </c>
      <c r="I59">
        <v>6.97</v>
      </c>
      <c r="J59">
        <v>20.91</v>
      </c>
      <c r="K59">
        <v>20.91</v>
      </c>
      <c r="L59">
        <v>20.91</v>
      </c>
      <c r="M59" s="6">
        <v>0.44444444444444442</v>
      </c>
      <c r="N59" s="6">
        <v>0.33333333333333331</v>
      </c>
      <c r="O59" s="6">
        <v>0.22222222222222221</v>
      </c>
      <c r="P59" s="10">
        <v>99</v>
      </c>
      <c r="Q59">
        <v>30.7</v>
      </c>
      <c r="R59">
        <v>3.07</v>
      </c>
      <c r="S59">
        <v>9.2100000000000009</v>
      </c>
      <c r="T59">
        <v>9.2100000000000009</v>
      </c>
      <c r="U59">
        <v>9.2100000000000009</v>
      </c>
      <c r="V59" s="6">
        <v>0.26315789473684209</v>
      </c>
      <c r="W59" s="6">
        <v>0.31578947368421051</v>
      </c>
      <c r="X59" s="6">
        <v>0.42105263157894735</v>
      </c>
      <c r="Y59" s="11">
        <f>VLOOKUP(G59,'[1]historico puntos 2022-2025'!$A$2:$G$19,7,0)</f>
        <v>60</v>
      </c>
      <c r="Z59" t="s">
        <v>38</v>
      </c>
      <c r="AA59">
        <f t="shared" si="2"/>
        <v>57</v>
      </c>
    </row>
    <row r="60" spans="1:27" hidden="1" x14ac:dyDescent="0.3">
      <c r="A60" t="str">
        <f t="shared" si="0"/>
        <v>2023-Atlas</v>
      </c>
      <c r="B60" t="str">
        <f t="shared" si="1"/>
        <v>2023-Puebla</v>
      </c>
      <c r="C60">
        <v>2023</v>
      </c>
      <c r="D60" t="s">
        <v>5</v>
      </c>
      <c r="E60" s="2">
        <v>2</v>
      </c>
      <c r="F60" s="2">
        <v>3</v>
      </c>
      <c r="G60" t="s">
        <v>1</v>
      </c>
      <c r="H60">
        <v>30.7</v>
      </c>
      <c r="I60">
        <v>3.07</v>
      </c>
      <c r="J60">
        <v>9.2100000000000009</v>
      </c>
      <c r="K60">
        <v>9.2100000000000009</v>
      </c>
      <c r="L60">
        <v>9.2100000000000009</v>
      </c>
      <c r="M60" s="6" t="s">
        <v>37</v>
      </c>
      <c r="N60" s="6" t="s">
        <v>37</v>
      </c>
      <c r="O60" s="6" t="s">
        <v>37</v>
      </c>
      <c r="P60" s="10">
        <v>60</v>
      </c>
      <c r="Q60">
        <v>26.7</v>
      </c>
      <c r="R60">
        <v>2.67</v>
      </c>
      <c r="S60">
        <v>8.01</v>
      </c>
      <c r="T60">
        <v>8.01</v>
      </c>
      <c r="U60">
        <v>8.01</v>
      </c>
      <c r="V60" s="6">
        <v>0.11764705882352941</v>
      </c>
      <c r="W60" s="6">
        <v>0.17647058823529413</v>
      </c>
      <c r="X60" s="6">
        <v>0.70588235294117652</v>
      </c>
      <c r="Y60" s="11">
        <f>VLOOKUP(G60,'[1]historico puntos 2022-2025'!$A$2:$G$19,7,0)</f>
        <v>34</v>
      </c>
      <c r="Z60" t="s">
        <v>40</v>
      </c>
      <c r="AA60">
        <f t="shared" si="2"/>
        <v>58</v>
      </c>
    </row>
    <row r="61" spans="1:27" hidden="1" x14ac:dyDescent="0.3">
      <c r="A61" t="str">
        <f t="shared" si="0"/>
        <v>2023-Juarez</v>
      </c>
      <c r="B61" t="str">
        <f t="shared" si="1"/>
        <v>2023-Atlas</v>
      </c>
      <c r="C61">
        <v>2023</v>
      </c>
      <c r="D61" t="s">
        <v>18</v>
      </c>
      <c r="E61" s="2">
        <v>1</v>
      </c>
      <c r="F61" s="2">
        <v>2</v>
      </c>
      <c r="G61" t="s">
        <v>5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s="6">
        <v>0.27777777777777779</v>
      </c>
      <c r="N61" s="6">
        <v>0.33333333333333331</v>
      </c>
      <c r="O61" s="6">
        <v>0.3888888888888889</v>
      </c>
      <c r="P61" s="10">
        <v>55</v>
      </c>
      <c r="Q61">
        <v>30.7</v>
      </c>
      <c r="R61">
        <v>3.07</v>
      </c>
      <c r="S61">
        <v>9.2100000000000009</v>
      </c>
      <c r="T61">
        <v>9.2100000000000009</v>
      </c>
      <c r="U61">
        <v>9.2100000000000009</v>
      </c>
      <c r="V61" s="6">
        <v>0.26315789473684209</v>
      </c>
      <c r="W61" s="6">
        <v>0.31578947368421051</v>
      </c>
      <c r="X61" s="6">
        <v>0.42105263157894735</v>
      </c>
      <c r="Y61" s="11">
        <f>VLOOKUP(G61,'[1]historico puntos 2022-2025'!$A$2:$G$19,7,0)</f>
        <v>60</v>
      </c>
      <c r="Z61" t="s">
        <v>40</v>
      </c>
      <c r="AA61">
        <f t="shared" si="2"/>
        <v>59</v>
      </c>
    </row>
    <row r="62" spans="1:27" hidden="1" x14ac:dyDescent="0.3">
      <c r="A62" t="str">
        <f t="shared" si="0"/>
        <v>2023-Atlas</v>
      </c>
      <c r="B62" t="str">
        <f t="shared" si="1"/>
        <v>2023-Tigres</v>
      </c>
      <c r="C62">
        <v>2023</v>
      </c>
      <c r="D62" t="s">
        <v>5</v>
      </c>
      <c r="E62" s="2">
        <v>2</v>
      </c>
      <c r="F62" s="2">
        <v>0</v>
      </c>
      <c r="G62" t="s">
        <v>17</v>
      </c>
      <c r="H62">
        <v>30.7</v>
      </c>
      <c r="I62">
        <v>3.07</v>
      </c>
      <c r="J62">
        <v>9.2100000000000009</v>
      </c>
      <c r="K62">
        <v>9.2100000000000009</v>
      </c>
      <c r="L62">
        <v>9.2100000000000009</v>
      </c>
      <c r="M62" s="6" t="s">
        <v>37</v>
      </c>
      <c r="N62" s="6" t="s">
        <v>37</v>
      </c>
      <c r="O62" s="6" t="s">
        <v>37</v>
      </c>
      <c r="P62" s="10">
        <v>60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s="6">
        <v>0.3</v>
      </c>
      <c r="W62" s="6">
        <v>0.3</v>
      </c>
      <c r="X62" s="6">
        <v>0.4</v>
      </c>
      <c r="Y62" s="11">
        <f>VLOOKUP(G62,'[1]historico puntos 2022-2025'!$A$2:$G$19,7,0)</f>
        <v>107</v>
      </c>
      <c r="Z62" t="s">
        <v>38</v>
      </c>
      <c r="AA62">
        <f t="shared" si="2"/>
        <v>60</v>
      </c>
    </row>
    <row r="63" spans="1:27" hidden="1" x14ac:dyDescent="0.3">
      <c r="A63" t="str">
        <f t="shared" si="0"/>
        <v>2023-Atlético San Luis</v>
      </c>
      <c r="B63" t="str">
        <f t="shared" si="1"/>
        <v>2023-Atlas</v>
      </c>
      <c r="C63">
        <v>2023</v>
      </c>
      <c r="D63" t="s">
        <v>15</v>
      </c>
      <c r="E63" s="2">
        <v>2</v>
      </c>
      <c r="F63" s="2">
        <v>0</v>
      </c>
      <c r="G63" t="s">
        <v>5</v>
      </c>
      <c r="H63">
        <v>35.85</v>
      </c>
      <c r="I63">
        <v>3.59</v>
      </c>
      <c r="J63">
        <v>10.77</v>
      </c>
      <c r="K63">
        <v>10.77</v>
      </c>
      <c r="L63">
        <v>10.77</v>
      </c>
      <c r="M63" s="6">
        <v>0.68421052631578949</v>
      </c>
      <c r="N63" s="6">
        <v>5.2631578947368418E-2</v>
      </c>
      <c r="O63" s="6">
        <v>0.26315789473684209</v>
      </c>
      <c r="P63" s="10">
        <v>59</v>
      </c>
      <c r="Q63">
        <v>30.7</v>
      </c>
      <c r="R63">
        <v>3.07</v>
      </c>
      <c r="S63">
        <v>9.2100000000000009</v>
      </c>
      <c r="T63">
        <v>9.2100000000000009</v>
      </c>
      <c r="U63">
        <v>9.2100000000000009</v>
      </c>
      <c r="V63" s="6">
        <v>0.26315789473684209</v>
      </c>
      <c r="W63" s="6">
        <v>0.31578947368421051</v>
      </c>
      <c r="X63" s="6">
        <v>0.42105263157894735</v>
      </c>
      <c r="Y63" s="11">
        <f>VLOOKUP(G63,'[1]historico puntos 2022-2025'!$A$2:$G$19,7,0)</f>
        <v>60</v>
      </c>
      <c r="Z63" t="s">
        <v>38</v>
      </c>
      <c r="AA63">
        <f t="shared" si="2"/>
        <v>61</v>
      </c>
    </row>
    <row r="64" spans="1:27" hidden="1" x14ac:dyDescent="0.3">
      <c r="A64" t="str">
        <f t="shared" si="0"/>
        <v>2023-Atlas</v>
      </c>
      <c r="B64" t="str">
        <f t="shared" si="1"/>
        <v>2023-Toluca</v>
      </c>
      <c r="C64">
        <v>2023</v>
      </c>
      <c r="D64" t="s">
        <v>5</v>
      </c>
      <c r="E64" s="2">
        <v>0</v>
      </c>
      <c r="F64" s="2">
        <v>0</v>
      </c>
      <c r="G64" t="s">
        <v>2</v>
      </c>
      <c r="H64">
        <v>30.7</v>
      </c>
      <c r="I64">
        <v>3.07</v>
      </c>
      <c r="J64">
        <v>9.2100000000000009</v>
      </c>
      <c r="K64">
        <v>9.2100000000000009</v>
      </c>
      <c r="L64">
        <v>9.2100000000000009</v>
      </c>
      <c r="M64" s="6" t="s">
        <v>37</v>
      </c>
      <c r="N64" s="6" t="s">
        <v>37</v>
      </c>
      <c r="O64" s="6" t="s">
        <v>37</v>
      </c>
      <c r="P64" s="10">
        <v>60</v>
      </c>
      <c r="Q64">
        <v>66.2</v>
      </c>
      <c r="R64">
        <v>6.62</v>
      </c>
      <c r="S64">
        <v>19.86</v>
      </c>
      <c r="T64">
        <v>19.86</v>
      </c>
      <c r="U64">
        <v>19.86</v>
      </c>
      <c r="V64" s="6">
        <v>0.38095238095238093</v>
      </c>
      <c r="W64" s="6">
        <v>0.33333333333333331</v>
      </c>
      <c r="X64" s="6">
        <v>0.2857142857142857</v>
      </c>
      <c r="Y64" s="11">
        <f>VLOOKUP(G64,'[1]historico puntos 2022-2025'!$A$2:$G$19,7,0)</f>
        <v>118</v>
      </c>
      <c r="Z64" t="s">
        <v>39</v>
      </c>
      <c r="AA64">
        <f t="shared" si="2"/>
        <v>62</v>
      </c>
    </row>
    <row r="65" spans="1:27" hidden="1" x14ac:dyDescent="0.3">
      <c r="A65" t="str">
        <f t="shared" si="0"/>
        <v>2023-América</v>
      </c>
      <c r="B65" t="str">
        <f t="shared" si="1"/>
        <v>2023-Atlas</v>
      </c>
      <c r="C65">
        <v>2023</v>
      </c>
      <c r="D65" t="s">
        <v>14</v>
      </c>
      <c r="E65" s="2">
        <v>1</v>
      </c>
      <c r="F65" s="2">
        <v>1</v>
      </c>
      <c r="G65" t="s">
        <v>5</v>
      </c>
      <c r="H65">
        <v>84.2</v>
      </c>
      <c r="I65">
        <v>8.42</v>
      </c>
      <c r="J65">
        <v>25.26</v>
      </c>
      <c r="K65">
        <v>25.26</v>
      </c>
      <c r="L65">
        <v>25.26</v>
      </c>
      <c r="M65" s="6">
        <v>0.65217391304347827</v>
      </c>
      <c r="N65" s="6">
        <v>0.21739130434782608</v>
      </c>
      <c r="O65" s="6">
        <v>0.13043478260869565</v>
      </c>
      <c r="P65" s="10">
        <v>133</v>
      </c>
      <c r="Q65">
        <v>30.7</v>
      </c>
      <c r="R65">
        <v>3.07</v>
      </c>
      <c r="S65">
        <v>9.2100000000000009</v>
      </c>
      <c r="T65">
        <v>9.2100000000000009</v>
      </c>
      <c r="U65">
        <v>9.2100000000000009</v>
      </c>
      <c r="V65" s="6">
        <v>0.26315789473684209</v>
      </c>
      <c r="W65" s="6">
        <v>0.31578947368421051</v>
      </c>
      <c r="X65" s="6">
        <v>0.42105263157894735</v>
      </c>
      <c r="Y65" s="11">
        <f>VLOOKUP(G65,'[1]historico puntos 2022-2025'!$A$2:$G$19,7,0)</f>
        <v>60</v>
      </c>
      <c r="Z65" t="s">
        <v>39</v>
      </c>
      <c r="AA65">
        <f t="shared" si="2"/>
        <v>63</v>
      </c>
    </row>
    <row r="66" spans="1:27" hidden="1" x14ac:dyDescent="0.3">
      <c r="A66" t="str">
        <f t="shared" si="0"/>
        <v>2023-Santos Laguna</v>
      </c>
      <c r="B66" t="str">
        <f t="shared" si="1"/>
        <v>2023-Atlas</v>
      </c>
      <c r="C66">
        <v>2023</v>
      </c>
      <c r="D66" t="s">
        <v>11</v>
      </c>
      <c r="E66" s="2">
        <v>0</v>
      </c>
      <c r="F66" s="2">
        <v>0</v>
      </c>
      <c r="G66" t="s">
        <v>5</v>
      </c>
      <c r="H66">
        <v>46</v>
      </c>
      <c r="I66">
        <v>4.5999999999999996</v>
      </c>
      <c r="J66">
        <v>13.8</v>
      </c>
      <c r="K66">
        <v>13.8</v>
      </c>
      <c r="L66">
        <v>13.8</v>
      </c>
      <c r="M66" s="6">
        <v>0.23529411764705882</v>
      </c>
      <c r="N66" s="6">
        <v>0.17647058823529413</v>
      </c>
      <c r="O66" s="6">
        <v>0.58823529411764708</v>
      </c>
      <c r="P66" s="10">
        <v>46</v>
      </c>
      <c r="Q66">
        <v>30.7</v>
      </c>
      <c r="R66">
        <v>3.07</v>
      </c>
      <c r="S66">
        <v>9.2100000000000009</v>
      </c>
      <c r="T66">
        <v>9.2100000000000009</v>
      </c>
      <c r="U66">
        <v>9.2100000000000009</v>
      </c>
      <c r="V66" s="6">
        <v>0.26315789473684209</v>
      </c>
      <c r="W66" s="6">
        <v>0.31578947368421051</v>
      </c>
      <c r="X66" s="6">
        <v>0.42105263157894735</v>
      </c>
      <c r="Y66" s="11">
        <f>VLOOKUP(G66,'[1]historico puntos 2022-2025'!$A$2:$G$19,7,0)</f>
        <v>60</v>
      </c>
      <c r="Z66" t="s">
        <v>39</v>
      </c>
      <c r="AA66">
        <f t="shared" si="2"/>
        <v>64</v>
      </c>
    </row>
    <row r="67" spans="1:27" hidden="1" x14ac:dyDescent="0.3">
      <c r="A67" t="str">
        <f t="shared" ref="A67:A130" si="3">C67&amp;"-"&amp;D67</f>
        <v>2023-Monterrey</v>
      </c>
      <c r="B67" t="str">
        <f t="shared" ref="B67:B130" si="4">C67&amp;"-"&amp;G67</f>
        <v>2023-Atlas</v>
      </c>
      <c r="C67">
        <v>2023</v>
      </c>
      <c r="D67" t="s">
        <v>3</v>
      </c>
      <c r="E67" s="2">
        <v>1</v>
      </c>
      <c r="F67" s="2">
        <v>0</v>
      </c>
      <c r="G67" t="s">
        <v>5</v>
      </c>
      <c r="H67">
        <v>88.1</v>
      </c>
      <c r="I67">
        <v>8.81</v>
      </c>
      <c r="J67">
        <v>26.43</v>
      </c>
      <c r="K67">
        <v>26.43</v>
      </c>
      <c r="L67">
        <v>26.43</v>
      </c>
      <c r="M67" s="6">
        <v>0.60869565217391308</v>
      </c>
      <c r="N67" s="6">
        <v>0.17391304347826086</v>
      </c>
      <c r="O67" s="6">
        <v>0.21739130434782608</v>
      </c>
      <c r="P67" s="10">
        <v>118</v>
      </c>
      <c r="Q67">
        <v>30.7</v>
      </c>
      <c r="R67">
        <v>3.07</v>
      </c>
      <c r="S67">
        <v>9.2100000000000009</v>
      </c>
      <c r="T67">
        <v>9.2100000000000009</v>
      </c>
      <c r="U67">
        <v>9.2100000000000009</v>
      </c>
      <c r="V67" s="6">
        <v>0.26315789473684209</v>
      </c>
      <c r="W67" s="6">
        <v>0.31578947368421051</v>
      </c>
      <c r="X67" s="6">
        <v>0.42105263157894735</v>
      </c>
      <c r="Y67" s="11">
        <f>VLOOKUP(G67,'[1]historico puntos 2022-2025'!$A$2:$G$19,7,0)</f>
        <v>60</v>
      </c>
      <c r="Z67" t="s">
        <v>38</v>
      </c>
      <c r="AA67">
        <f t="shared" si="2"/>
        <v>65</v>
      </c>
    </row>
    <row r="68" spans="1:27" hidden="1" x14ac:dyDescent="0.3">
      <c r="A68" t="str">
        <f t="shared" si="3"/>
        <v>2024-Santos Laguna</v>
      </c>
      <c r="B68" t="str">
        <f t="shared" si="4"/>
        <v>2024-Atlético San Luis</v>
      </c>
      <c r="C68">
        <v>2024</v>
      </c>
      <c r="D68" t="s">
        <v>11</v>
      </c>
      <c r="E68" s="2">
        <v>0</v>
      </c>
      <c r="F68" s="2">
        <v>3</v>
      </c>
      <c r="G68" t="s">
        <v>15</v>
      </c>
      <c r="H68">
        <v>35.9</v>
      </c>
      <c r="I68">
        <v>3.59</v>
      </c>
      <c r="J68">
        <v>10.77</v>
      </c>
      <c r="K68">
        <v>10.77</v>
      </c>
      <c r="L68">
        <v>10.77</v>
      </c>
      <c r="M68" s="6">
        <v>0.23529411764705882</v>
      </c>
      <c r="N68" s="6">
        <v>0.17647058823529413</v>
      </c>
      <c r="O68" s="6">
        <v>0.58823529411764708</v>
      </c>
      <c r="P68" s="10">
        <v>46</v>
      </c>
      <c r="Q68">
        <v>45.95</v>
      </c>
      <c r="R68">
        <v>4.5999999999999996</v>
      </c>
      <c r="S68">
        <v>13.84</v>
      </c>
      <c r="T68">
        <v>13.84</v>
      </c>
      <c r="U68">
        <v>13.84</v>
      </c>
      <c r="V68" s="6">
        <v>0.21052631578947367</v>
      </c>
      <c r="W68" s="6">
        <v>0.15789473684210525</v>
      </c>
      <c r="X68" s="6">
        <v>0.63157894736842102</v>
      </c>
      <c r="Y68" s="11">
        <f>VLOOKUP(G68,'[1]historico puntos 2022-2025'!$A$2:$G$19,7,0)</f>
        <v>59</v>
      </c>
      <c r="Z68" t="s">
        <v>40</v>
      </c>
      <c r="AA68">
        <f t="shared" ref="AA68:AA131" si="5">AA67+1</f>
        <v>66</v>
      </c>
    </row>
    <row r="69" spans="1:27" hidden="1" x14ac:dyDescent="0.3">
      <c r="A69" t="str">
        <f t="shared" si="3"/>
        <v>2024-Atlético San Luis</v>
      </c>
      <c r="B69" t="str">
        <f t="shared" si="4"/>
        <v>2024-Toluca</v>
      </c>
      <c r="C69">
        <v>2024</v>
      </c>
      <c r="D69" t="s">
        <v>15</v>
      </c>
      <c r="E69" s="2">
        <v>1</v>
      </c>
      <c r="F69" s="2">
        <v>5</v>
      </c>
      <c r="G69" t="s">
        <v>2</v>
      </c>
      <c r="H69">
        <v>45.95</v>
      </c>
      <c r="I69">
        <v>4.5999999999999996</v>
      </c>
      <c r="J69">
        <v>13.84</v>
      </c>
      <c r="K69">
        <v>13.84</v>
      </c>
      <c r="L69">
        <v>13.84</v>
      </c>
      <c r="M69" s="6">
        <v>0.68421052631578949</v>
      </c>
      <c r="N69" s="6">
        <v>5.2631578947368418E-2</v>
      </c>
      <c r="O69" s="6">
        <v>0.26315789473684209</v>
      </c>
      <c r="P69" s="10">
        <v>59</v>
      </c>
      <c r="Q69">
        <v>77.45</v>
      </c>
      <c r="R69">
        <v>7.75</v>
      </c>
      <c r="S69">
        <v>23.24</v>
      </c>
      <c r="T69">
        <v>23.24</v>
      </c>
      <c r="U69">
        <v>23.24</v>
      </c>
      <c r="V69" s="6">
        <v>0.38095238095238093</v>
      </c>
      <c r="W69" s="6">
        <v>0.33333333333333331</v>
      </c>
      <c r="X69" s="6">
        <v>0.2857142857142857</v>
      </c>
      <c r="Y69" s="11">
        <f>VLOOKUP(G69,'[1]historico puntos 2022-2025'!$A$2:$G$19,7,0)</f>
        <v>118</v>
      </c>
      <c r="Z69" t="s">
        <v>40</v>
      </c>
      <c r="AA69">
        <f t="shared" si="5"/>
        <v>67</v>
      </c>
    </row>
    <row r="70" spans="1:27" hidden="1" x14ac:dyDescent="0.3">
      <c r="A70" t="str">
        <f t="shared" si="3"/>
        <v>2024-Atlas</v>
      </c>
      <c r="B70" t="str">
        <f t="shared" si="4"/>
        <v>2024-Atlético San Luis</v>
      </c>
      <c r="C70">
        <v>2024</v>
      </c>
      <c r="D70" t="s">
        <v>5</v>
      </c>
      <c r="E70" s="2">
        <v>2</v>
      </c>
      <c r="F70" s="2">
        <v>1</v>
      </c>
      <c r="G70" t="s">
        <v>15</v>
      </c>
      <c r="H70">
        <v>28.95</v>
      </c>
      <c r="I70">
        <v>2.9</v>
      </c>
      <c r="J70">
        <v>8.68</v>
      </c>
      <c r="K70">
        <v>8.68</v>
      </c>
      <c r="L70">
        <v>8.68</v>
      </c>
      <c r="M70" s="6" t="s">
        <v>37</v>
      </c>
      <c r="N70" s="6" t="s">
        <v>37</v>
      </c>
      <c r="O70" s="6" t="s">
        <v>37</v>
      </c>
      <c r="P70" s="10">
        <v>60</v>
      </c>
      <c r="Q70">
        <v>45.95</v>
      </c>
      <c r="R70">
        <v>4.5999999999999996</v>
      </c>
      <c r="S70">
        <v>13.84</v>
      </c>
      <c r="T70">
        <v>13.84</v>
      </c>
      <c r="U70">
        <v>13.84</v>
      </c>
      <c r="V70" s="6">
        <v>0.21052631578947367</v>
      </c>
      <c r="W70" s="6">
        <v>0.15789473684210525</v>
      </c>
      <c r="X70" s="6">
        <v>0.63157894736842102</v>
      </c>
      <c r="Y70" s="11">
        <f>VLOOKUP(G70,'[1]historico puntos 2022-2025'!$A$2:$G$19,7,0)</f>
        <v>59</v>
      </c>
      <c r="Z70" t="s">
        <v>38</v>
      </c>
      <c r="AA70">
        <f t="shared" si="5"/>
        <v>68</v>
      </c>
    </row>
    <row r="71" spans="1:27" hidden="1" x14ac:dyDescent="0.3">
      <c r="A71" t="str">
        <f t="shared" si="3"/>
        <v>2024-Atlético San Luis</v>
      </c>
      <c r="B71" t="str">
        <f t="shared" si="4"/>
        <v>2024-Juarez</v>
      </c>
      <c r="C71">
        <v>2024</v>
      </c>
      <c r="D71" t="s">
        <v>15</v>
      </c>
      <c r="E71" s="2">
        <v>2</v>
      </c>
      <c r="F71" s="2">
        <v>3</v>
      </c>
      <c r="G71" t="s">
        <v>18</v>
      </c>
      <c r="H71">
        <v>45.95</v>
      </c>
      <c r="I71">
        <v>4.5999999999999996</v>
      </c>
      <c r="J71">
        <v>13.84</v>
      </c>
      <c r="K71">
        <v>13.84</v>
      </c>
      <c r="L71">
        <v>13.84</v>
      </c>
      <c r="M71" s="6">
        <v>0.68421052631578949</v>
      </c>
      <c r="N71" s="6">
        <v>5.2631578947368418E-2</v>
      </c>
      <c r="O71" s="6">
        <v>0.26315789473684209</v>
      </c>
      <c r="P71" s="10">
        <v>59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s="6">
        <v>0.35294117647058826</v>
      </c>
      <c r="W71" s="6">
        <v>0.17647058823529413</v>
      </c>
      <c r="X71" s="6">
        <v>0.47058823529411764</v>
      </c>
      <c r="Y71" s="11">
        <f>VLOOKUP(G71,'[1]historico puntos 2022-2025'!$A$2:$G$19,7,0)</f>
        <v>55</v>
      </c>
      <c r="Z71" t="s">
        <v>40</v>
      </c>
      <c r="AA71">
        <f t="shared" si="5"/>
        <v>69</v>
      </c>
    </row>
    <row r="72" spans="1:27" hidden="1" x14ac:dyDescent="0.3">
      <c r="A72" t="str">
        <f t="shared" si="3"/>
        <v>2024-América</v>
      </c>
      <c r="B72" t="str">
        <f t="shared" si="4"/>
        <v>2024-Atlético San Luis</v>
      </c>
      <c r="C72">
        <v>2024</v>
      </c>
      <c r="D72" t="s">
        <v>14</v>
      </c>
      <c r="E72" s="2">
        <v>2</v>
      </c>
      <c r="F72" s="2">
        <v>1</v>
      </c>
      <c r="G72" t="s">
        <v>15</v>
      </c>
      <c r="H72">
        <v>92.45</v>
      </c>
      <c r="I72">
        <v>9.25</v>
      </c>
      <c r="J72">
        <v>27.73</v>
      </c>
      <c r="K72">
        <v>27.73</v>
      </c>
      <c r="L72">
        <v>27.73</v>
      </c>
      <c r="M72" s="6">
        <v>0.65217391304347827</v>
      </c>
      <c r="N72" s="6">
        <v>0.21739130434782608</v>
      </c>
      <c r="O72" s="6">
        <v>0.13043478260869565</v>
      </c>
      <c r="P72" s="10">
        <v>133</v>
      </c>
      <c r="Q72">
        <v>45.95</v>
      </c>
      <c r="R72">
        <v>4.5999999999999996</v>
      </c>
      <c r="S72">
        <v>13.84</v>
      </c>
      <c r="T72">
        <v>13.84</v>
      </c>
      <c r="U72">
        <v>13.84</v>
      </c>
      <c r="V72" s="6">
        <v>0.21052631578947367</v>
      </c>
      <c r="W72" s="6">
        <v>0.15789473684210525</v>
      </c>
      <c r="X72" s="6">
        <v>0.63157894736842102</v>
      </c>
      <c r="Y72" s="11">
        <f>VLOOKUP(G72,'[1]historico puntos 2022-2025'!$A$2:$G$19,7,0)</f>
        <v>59</v>
      </c>
      <c r="Z72" t="s">
        <v>38</v>
      </c>
      <c r="AA72">
        <f t="shared" si="5"/>
        <v>70</v>
      </c>
    </row>
    <row r="73" spans="1:27" hidden="1" x14ac:dyDescent="0.3">
      <c r="A73" t="str">
        <f t="shared" si="3"/>
        <v>2024-Atlético San Luis</v>
      </c>
      <c r="B73" t="str">
        <f t="shared" si="4"/>
        <v>2024-Pachuca</v>
      </c>
      <c r="C73">
        <v>2024</v>
      </c>
      <c r="D73" t="s">
        <v>15</v>
      </c>
      <c r="E73" s="2">
        <v>2</v>
      </c>
      <c r="F73" s="2">
        <v>1</v>
      </c>
      <c r="G73" t="s">
        <v>0</v>
      </c>
      <c r="H73">
        <v>45.95</v>
      </c>
      <c r="I73">
        <v>4.5999999999999996</v>
      </c>
      <c r="J73">
        <v>13.84</v>
      </c>
      <c r="K73">
        <v>13.84</v>
      </c>
      <c r="L73">
        <v>13.84</v>
      </c>
      <c r="M73" s="6">
        <v>0.68421052631578949</v>
      </c>
      <c r="N73" s="6">
        <v>5.2631578947368418E-2</v>
      </c>
      <c r="O73" s="6">
        <v>0.26315789473684209</v>
      </c>
      <c r="P73" s="10">
        <v>59</v>
      </c>
      <c r="Q73">
        <v>56.6</v>
      </c>
      <c r="R73">
        <v>5.66</v>
      </c>
      <c r="S73">
        <v>16.98</v>
      </c>
      <c r="T73">
        <v>16.98</v>
      </c>
      <c r="U73">
        <v>16.98</v>
      </c>
      <c r="V73" s="6">
        <v>0.26315789473684209</v>
      </c>
      <c r="W73" s="6">
        <v>0.15789473684210525</v>
      </c>
      <c r="X73" s="6">
        <v>0.57894736842105265</v>
      </c>
      <c r="Y73" s="11">
        <f>VLOOKUP(G73,'[1]historico puntos 2022-2025'!$A$2:$G$19,7,0)</f>
        <v>98</v>
      </c>
      <c r="Z73" t="s">
        <v>38</v>
      </c>
      <c r="AA73">
        <f t="shared" si="5"/>
        <v>71</v>
      </c>
    </row>
    <row r="74" spans="1:27" hidden="1" x14ac:dyDescent="0.3">
      <c r="A74" t="str">
        <f t="shared" si="3"/>
        <v>2024-Necaxa</v>
      </c>
      <c r="B74" t="str">
        <f t="shared" si="4"/>
        <v>2024-Atlético San Luis</v>
      </c>
      <c r="C74">
        <v>2024</v>
      </c>
      <c r="D74" t="s">
        <v>4</v>
      </c>
      <c r="E74" s="2">
        <v>3</v>
      </c>
      <c r="F74" s="2">
        <v>1</v>
      </c>
      <c r="G74" t="s">
        <v>15</v>
      </c>
      <c r="H74">
        <v>38.5</v>
      </c>
      <c r="I74">
        <v>3.85</v>
      </c>
      <c r="J74">
        <v>11.55</v>
      </c>
      <c r="K74">
        <v>11.55</v>
      </c>
      <c r="L74">
        <v>11.55</v>
      </c>
      <c r="M74" s="6">
        <v>0.44444444444444442</v>
      </c>
      <c r="N74" s="6">
        <v>0.22222222222222221</v>
      </c>
      <c r="O74" s="6">
        <v>0.33333333333333331</v>
      </c>
      <c r="P74" s="10">
        <v>77</v>
      </c>
      <c r="Q74">
        <v>45.95</v>
      </c>
      <c r="R74">
        <v>4.5999999999999996</v>
      </c>
      <c r="S74">
        <v>13.84</v>
      </c>
      <c r="T74">
        <v>13.84</v>
      </c>
      <c r="U74">
        <v>13.84</v>
      </c>
      <c r="V74" s="6">
        <v>0.21052631578947367</v>
      </c>
      <c r="W74" s="6">
        <v>0.15789473684210525</v>
      </c>
      <c r="X74" s="6">
        <v>0.63157894736842102</v>
      </c>
      <c r="Y74" s="11">
        <f>VLOOKUP(G74,'[1]historico puntos 2022-2025'!$A$2:$G$19,7,0)</f>
        <v>59</v>
      </c>
      <c r="Z74" t="s">
        <v>38</v>
      </c>
      <c r="AA74">
        <f t="shared" si="5"/>
        <v>72</v>
      </c>
    </row>
    <row r="75" spans="1:27" hidden="1" x14ac:dyDescent="0.3">
      <c r="A75" t="str">
        <f t="shared" si="3"/>
        <v>2024-Atlético San Luis</v>
      </c>
      <c r="B75" t="str">
        <f t="shared" si="4"/>
        <v>2024-Puebla</v>
      </c>
      <c r="C75">
        <v>2024</v>
      </c>
      <c r="D75" t="s">
        <v>15</v>
      </c>
      <c r="E75" s="2">
        <v>4</v>
      </c>
      <c r="F75" s="2">
        <v>0</v>
      </c>
      <c r="G75" t="s">
        <v>1</v>
      </c>
      <c r="H75">
        <v>45.95</v>
      </c>
      <c r="I75">
        <v>4.5999999999999996</v>
      </c>
      <c r="J75">
        <v>13.84</v>
      </c>
      <c r="K75">
        <v>13.84</v>
      </c>
      <c r="L75">
        <v>13.84</v>
      </c>
      <c r="M75" s="6">
        <v>0.68421052631578949</v>
      </c>
      <c r="N75" s="6">
        <v>5.2631578947368418E-2</v>
      </c>
      <c r="O75" s="6">
        <v>0.26315789473684209</v>
      </c>
      <c r="P75" s="10">
        <v>59</v>
      </c>
      <c r="Q75">
        <v>24.1</v>
      </c>
      <c r="R75">
        <v>2.41</v>
      </c>
      <c r="S75">
        <v>7.23</v>
      </c>
      <c r="T75">
        <v>7.23</v>
      </c>
      <c r="U75">
        <v>7.23</v>
      </c>
      <c r="V75" s="6">
        <v>0.11764705882352941</v>
      </c>
      <c r="W75" s="6">
        <v>0.17647058823529413</v>
      </c>
      <c r="X75" s="6">
        <v>0.70588235294117652</v>
      </c>
      <c r="Y75" s="11">
        <f>VLOOKUP(G75,'[1]historico puntos 2022-2025'!$A$2:$G$19,7,0)</f>
        <v>34</v>
      </c>
      <c r="Z75" t="s">
        <v>38</v>
      </c>
      <c r="AA75">
        <f t="shared" si="5"/>
        <v>73</v>
      </c>
    </row>
    <row r="76" spans="1:27" hidden="1" x14ac:dyDescent="0.3">
      <c r="A76" t="str">
        <f t="shared" si="3"/>
        <v>2024-Querétaro</v>
      </c>
      <c r="B76" t="str">
        <f t="shared" si="4"/>
        <v>2024-Atlético San Luis</v>
      </c>
      <c r="C76">
        <v>2024</v>
      </c>
      <c r="D76" t="s">
        <v>22</v>
      </c>
      <c r="E76" s="2">
        <v>4</v>
      </c>
      <c r="F76" s="2">
        <v>1</v>
      </c>
      <c r="G76" t="s">
        <v>15</v>
      </c>
      <c r="H76">
        <v>17.8</v>
      </c>
      <c r="I76">
        <v>1.78</v>
      </c>
      <c r="J76">
        <v>5.34</v>
      </c>
      <c r="K76">
        <v>5.34</v>
      </c>
      <c r="L76">
        <v>5.34</v>
      </c>
      <c r="M76" s="6">
        <v>0.35294117647058826</v>
      </c>
      <c r="N76" s="6">
        <v>0.11764705882352941</v>
      </c>
      <c r="O76" s="6">
        <v>0.52941176470588236</v>
      </c>
      <c r="P76" s="10">
        <v>64</v>
      </c>
      <c r="Q76">
        <v>45.95</v>
      </c>
      <c r="R76">
        <v>4.5999999999999996</v>
      </c>
      <c r="S76">
        <v>13.84</v>
      </c>
      <c r="T76">
        <v>13.84</v>
      </c>
      <c r="U76">
        <v>13.84</v>
      </c>
      <c r="V76" s="6">
        <v>0.21052631578947367</v>
      </c>
      <c r="W76" s="6">
        <v>0.15789473684210525</v>
      </c>
      <c r="X76" s="6">
        <v>0.63157894736842102</v>
      </c>
      <c r="Y76" s="11">
        <f>VLOOKUP(G76,'[1]historico puntos 2022-2025'!$A$2:$G$19,7,0)</f>
        <v>59</v>
      </c>
      <c r="Z76" t="s">
        <v>38</v>
      </c>
      <c r="AA76">
        <f t="shared" si="5"/>
        <v>74</v>
      </c>
    </row>
    <row r="77" spans="1:27" hidden="1" x14ac:dyDescent="0.3">
      <c r="A77" t="str">
        <f t="shared" si="3"/>
        <v>2024-Atlético San Luis</v>
      </c>
      <c r="B77" t="str">
        <f t="shared" si="4"/>
        <v>2024-Xolos</v>
      </c>
      <c r="C77">
        <v>2024</v>
      </c>
      <c r="D77" t="s">
        <v>15</v>
      </c>
      <c r="E77" s="2">
        <v>3</v>
      </c>
      <c r="F77" s="2">
        <v>3</v>
      </c>
      <c r="G77" t="s">
        <v>19</v>
      </c>
      <c r="H77">
        <v>45.95</v>
      </c>
      <c r="I77">
        <v>4.5999999999999996</v>
      </c>
      <c r="J77">
        <v>13.84</v>
      </c>
      <c r="K77">
        <v>13.84</v>
      </c>
      <c r="L77">
        <v>13.84</v>
      </c>
      <c r="M77" s="6">
        <v>0.68421052631578949</v>
      </c>
      <c r="N77" s="6">
        <v>5.2631578947368418E-2</v>
      </c>
      <c r="O77" s="6">
        <v>0.26315789473684209</v>
      </c>
      <c r="P77" s="10">
        <v>59</v>
      </c>
      <c r="Q77">
        <v>39.15</v>
      </c>
      <c r="R77">
        <v>3.92</v>
      </c>
      <c r="S77">
        <v>11.75</v>
      </c>
      <c r="T77">
        <v>11.75</v>
      </c>
      <c r="U77">
        <v>11.75</v>
      </c>
      <c r="V77" s="6">
        <v>0.27777777777777779</v>
      </c>
      <c r="W77" s="6">
        <v>0.22222222222222221</v>
      </c>
      <c r="X77" s="6">
        <v>0.5</v>
      </c>
      <c r="Y77" s="11">
        <f>VLOOKUP(G77,'[1]historico puntos 2022-2025'!$A$2:$G$19,7,0)</f>
        <v>49</v>
      </c>
      <c r="Z77" t="s">
        <v>39</v>
      </c>
      <c r="AA77">
        <f t="shared" si="5"/>
        <v>75</v>
      </c>
    </row>
    <row r="78" spans="1:27" hidden="1" x14ac:dyDescent="0.3">
      <c r="A78" t="str">
        <f t="shared" si="3"/>
        <v>2024-Cruz Azul</v>
      </c>
      <c r="B78" t="str">
        <f t="shared" si="4"/>
        <v>2024-Atlético San Luis</v>
      </c>
      <c r="C78">
        <v>2024</v>
      </c>
      <c r="D78" t="s">
        <v>10</v>
      </c>
      <c r="E78" s="2">
        <v>3</v>
      </c>
      <c r="F78" s="2">
        <v>0</v>
      </c>
      <c r="G78" t="s">
        <v>15</v>
      </c>
      <c r="H78">
        <v>78.849999999999994</v>
      </c>
      <c r="I78">
        <v>7.89</v>
      </c>
      <c r="J78">
        <v>23.66</v>
      </c>
      <c r="K78">
        <v>23.66</v>
      </c>
      <c r="L78">
        <v>23.66</v>
      </c>
      <c r="M78" s="6">
        <v>0.7142857142857143</v>
      </c>
      <c r="N78" s="6">
        <v>0.23809523809523808</v>
      </c>
      <c r="O78" s="6">
        <v>4.7619047619047616E-2</v>
      </c>
      <c r="P78" s="10">
        <v>107</v>
      </c>
      <c r="Q78">
        <v>45.95</v>
      </c>
      <c r="R78">
        <v>4.5999999999999996</v>
      </c>
      <c r="S78">
        <v>13.84</v>
      </c>
      <c r="T78">
        <v>13.84</v>
      </c>
      <c r="U78">
        <v>13.84</v>
      </c>
      <c r="V78" s="6">
        <v>0.21052631578947367</v>
      </c>
      <c r="W78" s="6">
        <v>0.15789473684210525</v>
      </c>
      <c r="X78" s="6">
        <v>0.63157894736842102</v>
      </c>
      <c r="Y78" s="11">
        <f>VLOOKUP(G78,'[1]historico puntos 2022-2025'!$A$2:$G$19,7,0)</f>
        <v>59</v>
      </c>
      <c r="Z78" t="s">
        <v>38</v>
      </c>
      <c r="AA78">
        <f t="shared" si="5"/>
        <v>76</v>
      </c>
    </row>
    <row r="79" spans="1:27" hidden="1" x14ac:dyDescent="0.3">
      <c r="A79" t="str">
        <f t="shared" si="3"/>
        <v>2024-Atlético San Luis</v>
      </c>
      <c r="B79" t="str">
        <f t="shared" si="4"/>
        <v>2024-Chivas</v>
      </c>
      <c r="C79">
        <v>2024</v>
      </c>
      <c r="D79" t="s">
        <v>15</v>
      </c>
      <c r="E79" s="2">
        <v>0</v>
      </c>
      <c r="F79" s="2">
        <v>2</v>
      </c>
      <c r="G79" t="s">
        <v>21</v>
      </c>
      <c r="H79">
        <v>45.95</v>
      </c>
      <c r="I79">
        <v>4.5999999999999996</v>
      </c>
      <c r="J79">
        <v>13.84</v>
      </c>
      <c r="K79">
        <v>13.84</v>
      </c>
      <c r="L79">
        <v>13.84</v>
      </c>
      <c r="M79" s="6">
        <v>0.68421052631578949</v>
      </c>
      <c r="N79" s="6">
        <v>5.2631578947368418E-2</v>
      </c>
      <c r="O79" s="6">
        <v>0.26315789473684209</v>
      </c>
      <c r="P79" s="10">
        <v>59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s="6">
        <v>0.23529411764705882</v>
      </c>
      <c r="W79" s="6">
        <v>0.23529411764705882</v>
      </c>
      <c r="X79" s="6">
        <v>0.52941176470588236</v>
      </c>
      <c r="Y79" s="11">
        <f>VLOOKUP(G79,'[1]historico puntos 2022-2025'!$A$2:$G$19,7,0)</f>
        <v>99</v>
      </c>
      <c r="Z79" t="s">
        <v>40</v>
      </c>
      <c r="AA79">
        <f t="shared" si="5"/>
        <v>77</v>
      </c>
    </row>
    <row r="80" spans="1:27" hidden="1" x14ac:dyDescent="0.3">
      <c r="A80" t="str">
        <f t="shared" si="3"/>
        <v>2024-Monterrey</v>
      </c>
      <c r="B80" t="str">
        <f t="shared" si="4"/>
        <v>2024-Atlético San Luis</v>
      </c>
      <c r="C80">
        <v>2024</v>
      </c>
      <c r="D80" t="s">
        <v>3</v>
      </c>
      <c r="E80" s="2">
        <v>3</v>
      </c>
      <c r="F80" s="2">
        <v>1</v>
      </c>
      <c r="G80" t="s">
        <v>15</v>
      </c>
      <c r="H80">
        <v>88.6</v>
      </c>
      <c r="I80">
        <v>8.86</v>
      </c>
      <c r="J80">
        <v>26.58</v>
      </c>
      <c r="K80">
        <v>26.58</v>
      </c>
      <c r="L80">
        <v>26.58</v>
      </c>
      <c r="M80" s="6">
        <v>0.60869565217391308</v>
      </c>
      <c r="N80" s="6">
        <v>0.17391304347826086</v>
      </c>
      <c r="O80" s="6">
        <v>0.21739130434782608</v>
      </c>
      <c r="P80" s="10">
        <v>118</v>
      </c>
      <c r="Q80">
        <v>45.95</v>
      </c>
      <c r="R80">
        <v>4.5999999999999996</v>
      </c>
      <c r="S80">
        <v>13.84</v>
      </c>
      <c r="T80">
        <v>13.84</v>
      </c>
      <c r="U80">
        <v>13.84</v>
      </c>
      <c r="V80" s="6">
        <v>0.21052631578947367</v>
      </c>
      <c r="W80" s="6">
        <v>0.15789473684210525</v>
      </c>
      <c r="X80" s="6">
        <v>0.63157894736842102</v>
      </c>
      <c r="Y80" s="11">
        <f>VLOOKUP(G80,'[1]historico puntos 2022-2025'!$A$2:$G$19,7,0)</f>
        <v>59</v>
      </c>
      <c r="Z80" t="s">
        <v>38</v>
      </c>
      <c r="AA80">
        <f t="shared" si="5"/>
        <v>78</v>
      </c>
    </row>
    <row r="81" spans="1:27" hidden="1" x14ac:dyDescent="0.3">
      <c r="A81" t="str">
        <f t="shared" si="3"/>
        <v>2024-Atlético San Luis</v>
      </c>
      <c r="B81" t="str">
        <f t="shared" si="4"/>
        <v>2024-Tigres</v>
      </c>
      <c r="C81">
        <v>2024</v>
      </c>
      <c r="D81" t="s">
        <v>15</v>
      </c>
      <c r="E81" s="2">
        <v>1</v>
      </c>
      <c r="F81" s="2">
        <v>2</v>
      </c>
      <c r="G81" t="s">
        <v>17</v>
      </c>
      <c r="H81">
        <v>45.95</v>
      </c>
      <c r="I81">
        <v>4.5999999999999996</v>
      </c>
      <c r="J81">
        <v>13.84</v>
      </c>
      <c r="K81">
        <v>13.84</v>
      </c>
      <c r="L81">
        <v>13.84</v>
      </c>
      <c r="M81" s="6">
        <v>0.68421052631578949</v>
      </c>
      <c r="N81" s="6">
        <v>5.2631578947368418E-2</v>
      </c>
      <c r="O81" s="6">
        <v>0.26315789473684209</v>
      </c>
      <c r="P81" s="10">
        <v>59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s="6">
        <v>0.3</v>
      </c>
      <c r="W81" s="6">
        <v>0.3</v>
      </c>
      <c r="X81" s="6">
        <v>0.4</v>
      </c>
      <c r="Y81" s="11">
        <f>VLOOKUP(G81,'[1]historico puntos 2022-2025'!$A$2:$G$19,7,0)</f>
        <v>107</v>
      </c>
      <c r="Z81" t="s">
        <v>40</v>
      </c>
      <c r="AA81">
        <f t="shared" si="5"/>
        <v>79</v>
      </c>
    </row>
    <row r="82" spans="1:27" hidden="1" x14ac:dyDescent="0.3">
      <c r="A82" t="str">
        <f t="shared" si="3"/>
        <v>2024-Atlético San Luis</v>
      </c>
      <c r="B82" t="str">
        <f t="shared" si="4"/>
        <v>2024-Pumas</v>
      </c>
      <c r="C82">
        <v>2024</v>
      </c>
      <c r="D82" t="s">
        <v>15</v>
      </c>
      <c r="E82" s="2">
        <v>3</v>
      </c>
      <c r="F82" s="2">
        <v>1</v>
      </c>
      <c r="G82" t="s">
        <v>16</v>
      </c>
      <c r="H82">
        <v>45.95</v>
      </c>
      <c r="I82">
        <v>4.5999999999999996</v>
      </c>
      <c r="J82">
        <v>13.84</v>
      </c>
      <c r="K82">
        <v>13.84</v>
      </c>
      <c r="L82">
        <v>13.84</v>
      </c>
      <c r="M82" s="6">
        <v>0.68421052631578949</v>
      </c>
      <c r="N82" s="6">
        <v>5.2631578947368418E-2</v>
      </c>
      <c r="O82" s="6">
        <v>0.26315789473684209</v>
      </c>
      <c r="P82" s="10">
        <v>59</v>
      </c>
      <c r="Q82">
        <v>47.6</v>
      </c>
      <c r="R82">
        <v>4.76</v>
      </c>
      <c r="S82">
        <v>14.28</v>
      </c>
      <c r="T82">
        <v>14.28</v>
      </c>
      <c r="U82">
        <v>14.28</v>
      </c>
      <c r="V82" s="6">
        <v>0.3</v>
      </c>
      <c r="W82" s="6">
        <v>0.25</v>
      </c>
      <c r="X82" s="6">
        <v>0.45</v>
      </c>
      <c r="Y82" s="11">
        <f>VLOOKUP(G82,'[1]historico puntos 2022-2025'!$A$2:$G$19,7,0)</f>
        <v>75</v>
      </c>
      <c r="Z82" t="s">
        <v>38</v>
      </c>
      <c r="AA82">
        <f t="shared" si="5"/>
        <v>80</v>
      </c>
    </row>
    <row r="83" spans="1:27" hidden="1" x14ac:dyDescent="0.3">
      <c r="A83" t="str">
        <f t="shared" si="3"/>
        <v>2024-Mazatlán</v>
      </c>
      <c r="B83" t="str">
        <f t="shared" si="4"/>
        <v>2024-Atlético San Luis</v>
      </c>
      <c r="C83">
        <v>2024</v>
      </c>
      <c r="D83" t="s">
        <v>20</v>
      </c>
      <c r="E83" s="2">
        <v>0</v>
      </c>
      <c r="F83" s="2">
        <v>1</v>
      </c>
      <c r="G83" t="s">
        <v>15</v>
      </c>
      <c r="H83">
        <v>31.45</v>
      </c>
      <c r="I83">
        <v>3.15</v>
      </c>
      <c r="J83">
        <v>9.44</v>
      </c>
      <c r="K83">
        <v>9.44</v>
      </c>
      <c r="L83">
        <v>9.44</v>
      </c>
      <c r="M83" s="6">
        <v>0.29411764705882354</v>
      </c>
      <c r="N83" s="6">
        <v>0.47058823529411764</v>
      </c>
      <c r="O83" s="6">
        <v>0.23529411764705882</v>
      </c>
      <c r="P83" s="10">
        <v>40</v>
      </c>
      <c r="Q83">
        <v>45.95</v>
      </c>
      <c r="R83">
        <v>4.5999999999999996</v>
      </c>
      <c r="S83">
        <v>13.84</v>
      </c>
      <c r="T83">
        <v>13.84</v>
      </c>
      <c r="U83">
        <v>13.84</v>
      </c>
      <c r="V83" s="6">
        <v>0.21052631578947367</v>
      </c>
      <c r="W83" s="6">
        <v>0.15789473684210525</v>
      </c>
      <c r="X83" s="6">
        <v>0.63157894736842102</v>
      </c>
      <c r="Y83" s="11">
        <f>VLOOKUP(G83,'[1]historico puntos 2022-2025'!$A$2:$G$19,7,0)</f>
        <v>59</v>
      </c>
      <c r="Z83" t="s">
        <v>40</v>
      </c>
      <c r="AA83">
        <f t="shared" si="5"/>
        <v>81</v>
      </c>
    </row>
    <row r="84" spans="1:27" hidden="1" x14ac:dyDescent="0.3">
      <c r="A84" t="str">
        <f t="shared" si="3"/>
        <v>2023-América</v>
      </c>
      <c r="B84" t="str">
        <f t="shared" si="4"/>
        <v>2023-Atlético San Luis</v>
      </c>
      <c r="C84">
        <v>2023</v>
      </c>
      <c r="D84" t="s">
        <v>14</v>
      </c>
      <c r="E84" s="2">
        <v>0</v>
      </c>
      <c r="F84" s="2">
        <v>2</v>
      </c>
      <c r="G84" t="s">
        <v>15</v>
      </c>
      <c r="H84">
        <v>84.2</v>
      </c>
      <c r="I84">
        <v>8.42</v>
      </c>
      <c r="J84">
        <v>25.26</v>
      </c>
      <c r="K84">
        <v>25.26</v>
      </c>
      <c r="L84">
        <v>25.26</v>
      </c>
      <c r="M84" s="6">
        <v>0.65217391304347827</v>
      </c>
      <c r="N84" s="6">
        <v>0.21739130434782608</v>
      </c>
      <c r="O84" s="6">
        <v>0.13043478260869565</v>
      </c>
      <c r="P84" s="10">
        <v>133</v>
      </c>
      <c r="Q84">
        <v>35.85</v>
      </c>
      <c r="R84">
        <v>3.59</v>
      </c>
      <c r="S84">
        <v>10.77</v>
      </c>
      <c r="T84">
        <v>10.77</v>
      </c>
      <c r="U84">
        <v>10.77</v>
      </c>
      <c r="V84" s="6">
        <v>0.21052631578947367</v>
      </c>
      <c r="W84" s="6">
        <v>0.15789473684210525</v>
      </c>
      <c r="X84" s="6">
        <v>0.63157894736842102</v>
      </c>
      <c r="Y84" s="11">
        <f>VLOOKUP(G84,'[1]historico puntos 2022-2025'!$A$2:$G$19,7,0)</f>
        <v>59</v>
      </c>
      <c r="Z84" t="s">
        <v>40</v>
      </c>
      <c r="AA84">
        <f t="shared" si="5"/>
        <v>82</v>
      </c>
    </row>
    <row r="85" spans="1:27" hidden="1" x14ac:dyDescent="0.3">
      <c r="A85" t="str">
        <f t="shared" si="3"/>
        <v>2023-Atlético San Luis</v>
      </c>
      <c r="B85" t="str">
        <f t="shared" si="4"/>
        <v>2023-América</v>
      </c>
      <c r="C85">
        <v>2023</v>
      </c>
      <c r="D85" t="s">
        <v>15</v>
      </c>
      <c r="E85" s="2">
        <v>0</v>
      </c>
      <c r="F85" s="2">
        <v>5</v>
      </c>
      <c r="G85" t="s">
        <v>14</v>
      </c>
      <c r="H85">
        <v>35.85</v>
      </c>
      <c r="I85">
        <v>3.59</v>
      </c>
      <c r="J85">
        <v>10.77</v>
      </c>
      <c r="K85">
        <v>10.77</v>
      </c>
      <c r="L85">
        <v>10.77</v>
      </c>
      <c r="M85" s="6">
        <v>0.68421052631578949</v>
      </c>
      <c r="N85" s="6">
        <v>5.2631578947368418E-2</v>
      </c>
      <c r="O85" s="6">
        <v>0.26315789473684209</v>
      </c>
      <c r="P85" s="10">
        <v>59</v>
      </c>
      <c r="Q85">
        <v>84.2</v>
      </c>
      <c r="R85">
        <v>8.42</v>
      </c>
      <c r="S85">
        <v>25.26</v>
      </c>
      <c r="T85">
        <v>25.26</v>
      </c>
      <c r="U85">
        <v>25.26</v>
      </c>
      <c r="V85" s="6">
        <v>0.375</v>
      </c>
      <c r="W85" s="6">
        <v>0.29166666666666669</v>
      </c>
      <c r="X85" s="6">
        <v>0.33333333333333331</v>
      </c>
      <c r="Y85" s="11">
        <f>VLOOKUP(G85,'[1]historico puntos 2022-2025'!$A$2:$G$19,7,0)</f>
        <v>133</v>
      </c>
      <c r="Z85" t="s">
        <v>40</v>
      </c>
      <c r="AA85">
        <f t="shared" si="5"/>
        <v>83</v>
      </c>
    </row>
    <row r="86" spans="1:27" hidden="1" x14ac:dyDescent="0.3">
      <c r="A86" t="str">
        <f t="shared" si="3"/>
        <v>2023-Monterrey</v>
      </c>
      <c r="B86" t="str">
        <f t="shared" si="4"/>
        <v>2023-Atlético San Luis</v>
      </c>
      <c r="C86">
        <v>2023</v>
      </c>
      <c r="D86" t="s">
        <v>3</v>
      </c>
      <c r="E86" s="2">
        <v>1</v>
      </c>
      <c r="F86" s="2">
        <v>1</v>
      </c>
      <c r="G86" t="s">
        <v>15</v>
      </c>
      <c r="H86">
        <v>88.1</v>
      </c>
      <c r="I86">
        <v>8.81</v>
      </c>
      <c r="J86">
        <v>26.43</v>
      </c>
      <c r="K86">
        <v>26.43</v>
      </c>
      <c r="L86">
        <v>26.43</v>
      </c>
      <c r="M86" s="6">
        <v>0.60869565217391308</v>
      </c>
      <c r="N86" s="6">
        <v>0.17391304347826086</v>
      </c>
      <c r="O86" s="6">
        <v>0.21739130434782608</v>
      </c>
      <c r="P86" s="10">
        <v>118</v>
      </c>
      <c r="Q86">
        <v>35.85</v>
      </c>
      <c r="R86">
        <v>3.59</v>
      </c>
      <c r="S86">
        <v>10.77</v>
      </c>
      <c r="T86">
        <v>10.77</v>
      </c>
      <c r="U86">
        <v>10.77</v>
      </c>
      <c r="V86" s="6">
        <v>0.21052631578947367</v>
      </c>
      <c r="W86" s="6">
        <v>0.15789473684210525</v>
      </c>
      <c r="X86" s="6">
        <v>0.63157894736842102</v>
      </c>
      <c r="Y86" s="11">
        <f>VLOOKUP(G86,'[1]historico puntos 2022-2025'!$A$2:$G$19,7,0)</f>
        <v>59</v>
      </c>
      <c r="Z86" t="s">
        <v>39</v>
      </c>
      <c r="AA86">
        <f t="shared" si="5"/>
        <v>84</v>
      </c>
    </row>
    <row r="87" spans="1:27" hidden="1" x14ac:dyDescent="0.3">
      <c r="A87" t="str">
        <f t="shared" si="3"/>
        <v>2023-Atlético San Luis</v>
      </c>
      <c r="B87" t="str">
        <f t="shared" si="4"/>
        <v>2023-Monterrey</v>
      </c>
      <c r="C87">
        <v>2023</v>
      </c>
      <c r="D87" t="s">
        <v>15</v>
      </c>
      <c r="E87" s="2">
        <v>1</v>
      </c>
      <c r="F87" s="2">
        <v>0</v>
      </c>
      <c r="G87" t="s">
        <v>3</v>
      </c>
      <c r="H87">
        <v>35.85</v>
      </c>
      <c r="I87">
        <v>3.59</v>
      </c>
      <c r="J87">
        <v>10.77</v>
      </c>
      <c r="K87">
        <v>10.77</v>
      </c>
      <c r="L87">
        <v>10.77</v>
      </c>
      <c r="M87" s="6">
        <v>0.68421052631578949</v>
      </c>
      <c r="N87" s="6">
        <v>5.2631578947368418E-2</v>
      </c>
      <c r="O87" s="6">
        <v>0.26315789473684209</v>
      </c>
      <c r="P87" s="10">
        <v>59</v>
      </c>
      <c r="Q87">
        <v>88.1</v>
      </c>
      <c r="R87">
        <v>8.81</v>
      </c>
      <c r="S87">
        <v>26.43</v>
      </c>
      <c r="T87">
        <v>26.43</v>
      </c>
      <c r="U87">
        <v>26.43</v>
      </c>
      <c r="V87" s="6">
        <v>0.38095238095238093</v>
      </c>
      <c r="W87" s="6">
        <v>0.23809523809523808</v>
      </c>
      <c r="X87" s="6">
        <v>0.38095238095238093</v>
      </c>
      <c r="Y87" s="11">
        <f>VLOOKUP(G87,'[1]historico puntos 2022-2025'!$A$2:$G$19,7,0)</f>
        <v>118</v>
      </c>
      <c r="Z87" t="s">
        <v>38</v>
      </c>
      <c r="AA87">
        <f t="shared" si="5"/>
        <v>85</v>
      </c>
    </row>
    <row r="88" spans="1:27" hidden="1" x14ac:dyDescent="0.3">
      <c r="A88" t="str">
        <f t="shared" si="3"/>
        <v>2023-Atlético San Luis</v>
      </c>
      <c r="B88" t="str">
        <f t="shared" si="4"/>
        <v>2023-León</v>
      </c>
      <c r="C88">
        <v>2023</v>
      </c>
      <c r="D88" t="s">
        <v>15</v>
      </c>
      <c r="E88" s="2">
        <v>3</v>
      </c>
      <c r="F88" s="2">
        <v>2</v>
      </c>
      <c r="G88" t="s">
        <v>36</v>
      </c>
      <c r="H88">
        <v>35.85</v>
      </c>
      <c r="I88">
        <v>3.59</v>
      </c>
      <c r="J88">
        <v>10.77</v>
      </c>
      <c r="K88">
        <v>10.77</v>
      </c>
      <c r="L88">
        <v>10.77</v>
      </c>
      <c r="M88" s="6">
        <v>0.68421052631578949</v>
      </c>
      <c r="N88" s="6">
        <v>5.2631578947368418E-2</v>
      </c>
      <c r="O88" s="6">
        <v>0.26315789473684209</v>
      </c>
      <c r="P88" s="10">
        <v>59</v>
      </c>
      <c r="Q88">
        <v>41.5</v>
      </c>
      <c r="R88">
        <v>4.1500000000000004</v>
      </c>
      <c r="S88">
        <v>12.45</v>
      </c>
      <c r="T88">
        <v>12.45</v>
      </c>
      <c r="U88">
        <v>12.45</v>
      </c>
      <c r="V88" s="6">
        <v>0.27777777777777779</v>
      </c>
      <c r="W88" s="6">
        <v>0.27777777777777779</v>
      </c>
      <c r="X88" s="6">
        <v>0.44444444444444442</v>
      </c>
      <c r="Y88" s="11">
        <f>VLOOKUP(G88,'[1]historico puntos 2022-2025'!$A$2:$G$19,7,0)</f>
        <v>87</v>
      </c>
      <c r="Z88" t="s">
        <v>38</v>
      </c>
      <c r="AA88">
        <f t="shared" si="5"/>
        <v>86</v>
      </c>
    </row>
    <row r="89" spans="1:27" hidden="1" x14ac:dyDescent="0.3">
      <c r="A89" t="str">
        <f t="shared" si="3"/>
        <v>2023-Atlético San Luis</v>
      </c>
      <c r="B89" t="str">
        <f t="shared" si="4"/>
        <v>2023-Santos Laguna</v>
      </c>
      <c r="C89">
        <v>2023</v>
      </c>
      <c r="D89" t="s">
        <v>15</v>
      </c>
      <c r="E89" s="2">
        <v>0</v>
      </c>
      <c r="F89" s="2">
        <v>2</v>
      </c>
      <c r="G89" t="s">
        <v>11</v>
      </c>
      <c r="H89">
        <v>35.85</v>
      </c>
      <c r="I89">
        <v>3.59</v>
      </c>
      <c r="J89">
        <v>10.77</v>
      </c>
      <c r="K89">
        <v>10.77</v>
      </c>
      <c r="L89">
        <v>10.77</v>
      </c>
      <c r="M89" s="6">
        <v>0.68421052631578949</v>
      </c>
      <c r="N89" s="6">
        <v>5.2631578947368418E-2</v>
      </c>
      <c r="O89" s="6">
        <v>0.26315789473684209</v>
      </c>
      <c r="P89" s="10">
        <v>59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s="6">
        <v>0</v>
      </c>
      <c r="W89" s="6">
        <v>0.11764705882352941</v>
      </c>
      <c r="X89" s="6">
        <v>0.88235294117647056</v>
      </c>
      <c r="Y89" s="11">
        <f>VLOOKUP(G89,'[1]historico puntos 2022-2025'!$A$2:$G$19,7,0)</f>
        <v>46</v>
      </c>
      <c r="Z89" t="s">
        <v>40</v>
      </c>
      <c r="AA89">
        <f t="shared" si="5"/>
        <v>87</v>
      </c>
    </row>
    <row r="90" spans="1:27" x14ac:dyDescent="0.3">
      <c r="A90" t="str">
        <f t="shared" si="3"/>
        <v>2023-Tigres</v>
      </c>
      <c r="B90" t="str">
        <f t="shared" si="4"/>
        <v>2023-Atlético San Luis</v>
      </c>
      <c r="C90">
        <v>2023</v>
      </c>
      <c r="D90" t="s">
        <v>17</v>
      </c>
      <c r="E90" s="2">
        <v>2</v>
      </c>
      <c r="F90" s="2">
        <v>2</v>
      </c>
      <c r="G90" t="s">
        <v>15</v>
      </c>
      <c r="H90">
        <v>67.599999999999994</v>
      </c>
      <c r="I90">
        <v>6.76</v>
      </c>
      <c r="J90">
        <v>20.28</v>
      </c>
      <c r="K90">
        <v>20.28</v>
      </c>
      <c r="L90">
        <v>20.28</v>
      </c>
      <c r="M90" s="6">
        <v>0.7</v>
      </c>
      <c r="N90" s="6">
        <v>0.25</v>
      </c>
      <c r="O90" s="6">
        <v>0.05</v>
      </c>
      <c r="P90" s="10">
        <v>107</v>
      </c>
      <c r="Q90">
        <v>35.85</v>
      </c>
      <c r="R90">
        <v>3.59</v>
      </c>
      <c r="S90">
        <v>10.77</v>
      </c>
      <c r="T90">
        <v>10.77</v>
      </c>
      <c r="U90">
        <v>10.77</v>
      </c>
      <c r="V90" s="6">
        <v>0.21052631578947367</v>
      </c>
      <c r="W90" s="6">
        <v>0.15789473684210525</v>
      </c>
      <c r="X90" s="6">
        <v>0.63157894736842102</v>
      </c>
      <c r="Y90" s="11">
        <f>VLOOKUP(G90,'[1]historico puntos 2022-2025'!$A$2:$G$19,7,0)</f>
        <v>59</v>
      </c>
      <c r="Z90" t="s">
        <v>39</v>
      </c>
      <c r="AA90">
        <f t="shared" si="5"/>
        <v>88</v>
      </c>
    </row>
    <row r="91" spans="1:27" hidden="1" x14ac:dyDescent="0.3">
      <c r="A91" t="str">
        <f t="shared" si="3"/>
        <v>2023-Atlético San Luis</v>
      </c>
      <c r="B91" t="str">
        <f t="shared" si="4"/>
        <v>2023-América</v>
      </c>
      <c r="C91">
        <v>2023</v>
      </c>
      <c r="D91" t="s">
        <v>15</v>
      </c>
      <c r="E91" s="2">
        <v>0</v>
      </c>
      <c r="F91" s="2">
        <v>1</v>
      </c>
      <c r="G91" t="s">
        <v>14</v>
      </c>
      <c r="H91">
        <v>35.85</v>
      </c>
      <c r="I91">
        <v>3.59</v>
      </c>
      <c r="J91">
        <v>10.77</v>
      </c>
      <c r="K91">
        <v>10.77</v>
      </c>
      <c r="L91">
        <v>10.77</v>
      </c>
      <c r="M91" s="6">
        <v>0.68421052631578949</v>
      </c>
      <c r="N91" s="6">
        <v>5.2631578947368418E-2</v>
      </c>
      <c r="O91" s="6">
        <v>0.26315789473684209</v>
      </c>
      <c r="P91" s="10">
        <v>59</v>
      </c>
      <c r="Q91">
        <v>84.2</v>
      </c>
      <c r="R91">
        <v>8.42</v>
      </c>
      <c r="S91">
        <v>25.26</v>
      </c>
      <c r="T91">
        <v>25.26</v>
      </c>
      <c r="U91">
        <v>25.26</v>
      </c>
      <c r="V91" s="6">
        <v>0.375</v>
      </c>
      <c r="W91" s="6">
        <v>0.29166666666666669</v>
      </c>
      <c r="X91" s="6">
        <v>0.33333333333333331</v>
      </c>
      <c r="Y91" s="11">
        <f>VLOOKUP(G91,'[1]historico puntos 2022-2025'!$A$2:$G$19,7,0)</f>
        <v>133</v>
      </c>
      <c r="Z91" t="s">
        <v>40</v>
      </c>
      <c r="AA91">
        <f t="shared" si="5"/>
        <v>89</v>
      </c>
    </row>
    <row r="92" spans="1:27" hidden="1" x14ac:dyDescent="0.3">
      <c r="A92" t="str">
        <f t="shared" si="3"/>
        <v>2023-Toluca</v>
      </c>
      <c r="B92" t="str">
        <f t="shared" si="4"/>
        <v>2023-Atlético San Luis</v>
      </c>
      <c r="C92">
        <v>2023</v>
      </c>
      <c r="D92" t="s">
        <v>2</v>
      </c>
      <c r="E92" s="2">
        <v>3</v>
      </c>
      <c r="F92" s="2">
        <v>1</v>
      </c>
      <c r="G92" t="s">
        <v>15</v>
      </c>
      <c r="H92">
        <v>66.2</v>
      </c>
      <c r="I92">
        <v>6.62</v>
      </c>
      <c r="J92">
        <v>19.86</v>
      </c>
      <c r="K92">
        <v>19.86</v>
      </c>
      <c r="L92">
        <v>19.86</v>
      </c>
      <c r="M92" s="6">
        <v>0.76190476190476186</v>
      </c>
      <c r="N92" s="6">
        <v>0.19047619047619047</v>
      </c>
      <c r="O92" s="6">
        <v>4.7619047619047616E-2</v>
      </c>
      <c r="P92" s="10">
        <v>118</v>
      </c>
      <c r="Q92">
        <v>35.85</v>
      </c>
      <c r="R92">
        <v>3.59</v>
      </c>
      <c r="S92">
        <v>10.77</v>
      </c>
      <c r="T92">
        <v>10.77</v>
      </c>
      <c r="U92">
        <v>10.77</v>
      </c>
      <c r="V92" s="6">
        <v>0.21052631578947367</v>
      </c>
      <c r="W92" s="6">
        <v>0.15789473684210525</v>
      </c>
      <c r="X92" s="6">
        <v>0.63157894736842102</v>
      </c>
      <c r="Y92" s="11">
        <f>VLOOKUP(G92,'[1]historico puntos 2022-2025'!$A$2:$G$19,7,0)</f>
        <v>59</v>
      </c>
      <c r="Z92" t="s">
        <v>38</v>
      </c>
      <c r="AA92">
        <f t="shared" si="5"/>
        <v>90</v>
      </c>
    </row>
    <row r="93" spans="1:27" hidden="1" x14ac:dyDescent="0.3">
      <c r="A93" t="str">
        <f t="shared" si="3"/>
        <v>2023-Juarez</v>
      </c>
      <c r="B93" t="str">
        <f t="shared" si="4"/>
        <v>2023-Atlético San Luis</v>
      </c>
      <c r="C93">
        <v>2023</v>
      </c>
      <c r="D93" t="s">
        <v>18</v>
      </c>
      <c r="E93" s="2">
        <v>3</v>
      </c>
      <c r="F93" s="2">
        <v>2</v>
      </c>
      <c r="G93" t="s">
        <v>15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s="6">
        <v>0.27777777777777779</v>
      </c>
      <c r="N93" s="6">
        <v>0.33333333333333331</v>
      </c>
      <c r="O93" s="6">
        <v>0.3888888888888889</v>
      </c>
      <c r="P93" s="10">
        <v>55</v>
      </c>
      <c r="Q93">
        <v>35.85</v>
      </c>
      <c r="R93">
        <v>3.59</v>
      </c>
      <c r="S93">
        <v>10.77</v>
      </c>
      <c r="T93">
        <v>10.77</v>
      </c>
      <c r="U93">
        <v>10.77</v>
      </c>
      <c r="V93" s="6">
        <v>0.21052631578947367</v>
      </c>
      <c r="W93" s="6">
        <v>0.15789473684210525</v>
      </c>
      <c r="X93" s="6">
        <v>0.63157894736842102</v>
      </c>
      <c r="Y93" s="11">
        <f>VLOOKUP(G93,'[1]historico puntos 2022-2025'!$A$2:$G$19,7,0)</f>
        <v>59</v>
      </c>
      <c r="Z93" t="s">
        <v>38</v>
      </c>
      <c r="AA93">
        <f t="shared" si="5"/>
        <v>91</v>
      </c>
    </row>
    <row r="94" spans="1:27" hidden="1" x14ac:dyDescent="0.3">
      <c r="A94" t="str">
        <f t="shared" si="3"/>
        <v>2023-Atlético San Luis</v>
      </c>
      <c r="B94" t="str">
        <f t="shared" si="4"/>
        <v>2023-Necaxa</v>
      </c>
      <c r="C94">
        <v>2023</v>
      </c>
      <c r="D94" t="s">
        <v>15</v>
      </c>
      <c r="E94" s="2">
        <v>4</v>
      </c>
      <c r="F94" s="2">
        <v>0</v>
      </c>
      <c r="G94" t="s">
        <v>4</v>
      </c>
      <c r="H94">
        <v>35.85</v>
      </c>
      <c r="I94">
        <v>3.59</v>
      </c>
      <c r="J94">
        <v>10.77</v>
      </c>
      <c r="K94">
        <v>10.77</v>
      </c>
      <c r="L94">
        <v>10.77</v>
      </c>
      <c r="M94" s="6">
        <v>0.68421052631578949</v>
      </c>
      <c r="N94" s="6">
        <v>5.2631578947368418E-2</v>
      </c>
      <c r="O94" s="6">
        <v>0.26315789473684209</v>
      </c>
      <c r="P94" s="10">
        <v>59</v>
      </c>
      <c r="Q94">
        <v>40</v>
      </c>
      <c r="R94">
        <v>4</v>
      </c>
      <c r="S94">
        <v>12</v>
      </c>
      <c r="T94">
        <v>12</v>
      </c>
      <c r="U94">
        <v>12</v>
      </c>
      <c r="V94" s="6">
        <v>0.27777777777777779</v>
      </c>
      <c r="W94" s="6">
        <v>0.27777777777777779</v>
      </c>
      <c r="X94" s="6">
        <v>0.44444444444444442</v>
      </c>
      <c r="Y94" s="11">
        <f>VLOOKUP(G94,'[1]historico puntos 2022-2025'!$A$2:$G$19,7,0)</f>
        <v>77</v>
      </c>
      <c r="Z94" t="s">
        <v>38</v>
      </c>
      <c r="AA94">
        <f t="shared" si="5"/>
        <v>92</v>
      </c>
    </row>
    <row r="95" spans="1:27" hidden="1" x14ac:dyDescent="0.3">
      <c r="A95" t="str">
        <f t="shared" si="3"/>
        <v>2023-Xolos</v>
      </c>
      <c r="B95" t="str">
        <f t="shared" si="4"/>
        <v>2023-Atlético San Luis</v>
      </c>
      <c r="C95">
        <v>2023</v>
      </c>
      <c r="D95" t="s">
        <v>19</v>
      </c>
      <c r="E95" s="2">
        <v>2</v>
      </c>
      <c r="F95" s="2">
        <v>1</v>
      </c>
      <c r="G95" t="s">
        <v>15</v>
      </c>
      <c r="H95">
        <v>38.299999999999997</v>
      </c>
      <c r="I95">
        <v>3.83</v>
      </c>
      <c r="J95">
        <v>11.49</v>
      </c>
      <c r="K95">
        <v>11.49</v>
      </c>
      <c r="L95">
        <v>11.49</v>
      </c>
      <c r="M95" s="6">
        <v>0.55000000000000004</v>
      </c>
      <c r="N95" s="6">
        <v>0.15</v>
      </c>
      <c r="O95" s="6">
        <v>0.3</v>
      </c>
      <c r="P95" s="10">
        <v>49</v>
      </c>
      <c r="Q95">
        <v>35.85</v>
      </c>
      <c r="R95">
        <v>3.59</v>
      </c>
      <c r="S95">
        <v>10.77</v>
      </c>
      <c r="T95">
        <v>10.77</v>
      </c>
      <c r="U95">
        <v>10.77</v>
      </c>
      <c r="V95" s="6">
        <v>0.21052631578947367</v>
      </c>
      <c r="W95" s="6">
        <v>0.15789473684210525</v>
      </c>
      <c r="X95" s="6">
        <v>0.63157894736842102</v>
      </c>
      <c r="Y95" s="11">
        <f>VLOOKUP(G95,'[1]historico puntos 2022-2025'!$A$2:$G$19,7,0)</f>
        <v>59</v>
      </c>
      <c r="Z95" t="s">
        <v>38</v>
      </c>
      <c r="AA95">
        <f t="shared" si="5"/>
        <v>93</v>
      </c>
    </row>
    <row r="96" spans="1:27" hidden="1" x14ac:dyDescent="0.3">
      <c r="A96" t="str">
        <f t="shared" si="3"/>
        <v>2023-Atlético San Luis</v>
      </c>
      <c r="B96" t="str">
        <f t="shared" si="4"/>
        <v>2023-Cruz Azul</v>
      </c>
      <c r="C96">
        <v>2023</v>
      </c>
      <c r="D96" t="s">
        <v>15</v>
      </c>
      <c r="E96" s="2">
        <v>1</v>
      </c>
      <c r="F96" s="2">
        <v>2</v>
      </c>
      <c r="G96" t="s">
        <v>10</v>
      </c>
      <c r="H96">
        <v>35.85</v>
      </c>
      <c r="I96">
        <v>3.59</v>
      </c>
      <c r="J96">
        <v>10.77</v>
      </c>
      <c r="K96">
        <v>10.77</v>
      </c>
      <c r="L96">
        <v>10.77</v>
      </c>
      <c r="M96" s="6">
        <v>0.68421052631578949</v>
      </c>
      <c r="N96" s="6">
        <v>5.2631578947368418E-2</v>
      </c>
      <c r="O96" s="6">
        <v>0.26315789473684209</v>
      </c>
      <c r="P96" s="10">
        <v>59</v>
      </c>
      <c r="Q96">
        <v>72.2</v>
      </c>
      <c r="R96">
        <v>7.22</v>
      </c>
      <c r="S96">
        <v>21.66</v>
      </c>
      <c r="T96">
        <v>21.66</v>
      </c>
      <c r="U96">
        <v>21.66</v>
      </c>
      <c r="V96" s="6">
        <v>0.52380952380952384</v>
      </c>
      <c r="W96" s="6">
        <v>0.23809523809523808</v>
      </c>
      <c r="X96" s="6">
        <v>0.23809523809523808</v>
      </c>
      <c r="Y96" s="11">
        <f>VLOOKUP(G96,'[1]historico puntos 2022-2025'!$A$2:$G$19,7,0)</f>
        <v>107</v>
      </c>
      <c r="Z96" t="s">
        <v>40</v>
      </c>
      <c r="AA96">
        <f t="shared" si="5"/>
        <v>94</v>
      </c>
    </row>
    <row r="97" spans="1:27" hidden="1" x14ac:dyDescent="0.3">
      <c r="A97" t="str">
        <f t="shared" si="3"/>
        <v>2023-Atlético San Luis</v>
      </c>
      <c r="B97" t="str">
        <f t="shared" si="4"/>
        <v>2023-Mazatlán</v>
      </c>
      <c r="C97">
        <v>2023</v>
      </c>
      <c r="D97" t="s">
        <v>15</v>
      </c>
      <c r="E97" s="2">
        <v>3</v>
      </c>
      <c r="F97" s="2">
        <v>2</v>
      </c>
      <c r="G97" t="s">
        <v>20</v>
      </c>
      <c r="H97">
        <v>35.85</v>
      </c>
      <c r="I97">
        <v>3.59</v>
      </c>
      <c r="J97">
        <v>10.77</v>
      </c>
      <c r="K97">
        <v>10.77</v>
      </c>
      <c r="L97">
        <v>10.77</v>
      </c>
      <c r="M97" s="6">
        <v>0.68421052631578949</v>
      </c>
      <c r="N97" s="6">
        <v>5.2631578947368418E-2</v>
      </c>
      <c r="O97" s="6">
        <v>0.26315789473684209</v>
      </c>
      <c r="P97" s="10">
        <v>59</v>
      </c>
      <c r="Q97">
        <v>35.049999999999997</v>
      </c>
      <c r="R97">
        <v>3.5</v>
      </c>
      <c r="S97">
        <v>10.51</v>
      </c>
      <c r="T97">
        <v>10.51</v>
      </c>
      <c r="U97">
        <v>10.51</v>
      </c>
      <c r="V97" s="6">
        <v>5.8823529411764705E-2</v>
      </c>
      <c r="W97" s="6">
        <v>0.29411764705882354</v>
      </c>
      <c r="X97" s="6">
        <v>0.6470588235294118</v>
      </c>
      <c r="Y97" s="11">
        <f>VLOOKUP(G97,'[1]historico puntos 2022-2025'!$A$2:$G$19,7,0)</f>
        <v>40</v>
      </c>
      <c r="Z97" t="s">
        <v>38</v>
      </c>
      <c r="AA97">
        <f t="shared" si="5"/>
        <v>95</v>
      </c>
    </row>
    <row r="98" spans="1:27" hidden="1" x14ac:dyDescent="0.3">
      <c r="A98" t="str">
        <f t="shared" si="3"/>
        <v>2023-Pumas</v>
      </c>
      <c r="B98" t="str">
        <f t="shared" si="4"/>
        <v>2023-Atlético San Luis</v>
      </c>
      <c r="C98">
        <v>2023</v>
      </c>
      <c r="D98" t="s">
        <v>16</v>
      </c>
      <c r="E98" s="2">
        <v>3</v>
      </c>
      <c r="F98" s="2">
        <v>2</v>
      </c>
      <c r="G98" t="s">
        <v>15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s="6">
        <v>0.5</v>
      </c>
      <c r="N98" s="6">
        <v>0.16666666666666666</v>
      </c>
      <c r="O98" s="6">
        <v>0.33333333333333331</v>
      </c>
      <c r="P98" s="10">
        <v>75</v>
      </c>
      <c r="Q98">
        <v>35.85</v>
      </c>
      <c r="R98">
        <v>3.59</v>
      </c>
      <c r="S98">
        <v>10.77</v>
      </c>
      <c r="T98">
        <v>10.77</v>
      </c>
      <c r="U98">
        <v>10.77</v>
      </c>
      <c r="V98" s="6">
        <v>0.21052631578947367</v>
      </c>
      <c r="W98" s="6">
        <v>0.15789473684210525</v>
      </c>
      <c r="X98" s="6">
        <v>0.63157894736842102</v>
      </c>
      <c r="Y98" s="11">
        <f>VLOOKUP(G98,'[1]historico puntos 2022-2025'!$A$2:$G$19,7,0)</f>
        <v>59</v>
      </c>
      <c r="Z98" t="s">
        <v>38</v>
      </c>
      <c r="AA98">
        <f t="shared" si="5"/>
        <v>96</v>
      </c>
    </row>
    <row r="99" spans="1:27" hidden="1" x14ac:dyDescent="0.3">
      <c r="A99" t="str">
        <f t="shared" si="3"/>
        <v>2023-Atlético San Luis</v>
      </c>
      <c r="B99" t="str">
        <f t="shared" si="4"/>
        <v>2023-Atlas</v>
      </c>
      <c r="C99">
        <v>2023</v>
      </c>
      <c r="D99" t="s">
        <v>15</v>
      </c>
      <c r="E99" s="2">
        <v>2</v>
      </c>
      <c r="F99" s="2">
        <v>0</v>
      </c>
      <c r="G99" t="s">
        <v>5</v>
      </c>
      <c r="H99">
        <v>35.85</v>
      </c>
      <c r="I99">
        <v>3.59</v>
      </c>
      <c r="J99">
        <v>10.77</v>
      </c>
      <c r="K99">
        <v>10.77</v>
      </c>
      <c r="L99">
        <v>10.77</v>
      </c>
      <c r="M99" s="6">
        <v>0.68421052631578949</v>
      </c>
      <c r="N99" s="6">
        <v>5.2631578947368418E-2</v>
      </c>
      <c r="O99" s="6">
        <v>0.26315789473684209</v>
      </c>
      <c r="P99" s="10">
        <v>59</v>
      </c>
      <c r="Q99">
        <v>30.7</v>
      </c>
      <c r="R99">
        <v>3.07</v>
      </c>
      <c r="S99">
        <v>9.2100000000000009</v>
      </c>
      <c r="T99">
        <v>9.2100000000000009</v>
      </c>
      <c r="U99">
        <v>9.2100000000000009</v>
      </c>
      <c r="V99" s="6">
        <v>0.26315789473684209</v>
      </c>
      <c r="W99" s="6">
        <v>0.31578947368421051</v>
      </c>
      <c r="X99" s="6">
        <v>0.42105263157894735</v>
      </c>
      <c r="Y99" s="11">
        <f>VLOOKUP(G99,'[1]historico puntos 2022-2025'!$A$2:$G$19,7,0)</f>
        <v>60</v>
      </c>
      <c r="Z99" t="s">
        <v>38</v>
      </c>
      <c r="AA99">
        <f t="shared" si="5"/>
        <v>97</v>
      </c>
    </row>
    <row r="100" spans="1:27" hidden="1" x14ac:dyDescent="0.3">
      <c r="A100" t="str">
        <f t="shared" si="3"/>
        <v>2023-Pachuca</v>
      </c>
      <c r="B100" t="str">
        <f t="shared" si="4"/>
        <v>2023-Atlético San Luis</v>
      </c>
      <c r="C100">
        <v>2023</v>
      </c>
      <c r="D100" t="s">
        <v>0</v>
      </c>
      <c r="E100" s="2">
        <v>0</v>
      </c>
      <c r="F100" s="2">
        <v>2</v>
      </c>
      <c r="G100" t="s">
        <v>15</v>
      </c>
      <c r="H100">
        <v>51.25</v>
      </c>
      <c r="I100">
        <v>5.13</v>
      </c>
      <c r="J100">
        <v>15.38</v>
      </c>
      <c r="K100">
        <v>15.38</v>
      </c>
      <c r="L100">
        <v>15.38</v>
      </c>
      <c r="M100" s="6">
        <v>0.3888888888888889</v>
      </c>
      <c r="N100" s="6">
        <v>0.33333333333333331</v>
      </c>
      <c r="O100" s="6">
        <v>0.27777777777777779</v>
      </c>
      <c r="P100" s="10">
        <v>98</v>
      </c>
      <c r="Q100">
        <v>35.85</v>
      </c>
      <c r="R100">
        <v>3.59</v>
      </c>
      <c r="S100">
        <v>10.77</v>
      </c>
      <c r="T100">
        <v>10.77</v>
      </c>
      <c r="U100">
        <v>10.77</v>
      </c>
      <c r="V100" s="6">
        <v>0.21052631578947367</v>
      </c>
      <c r="W100" s="6">
        <v>0.15789473684210525</v>
      </c>
      <c r="X100" s="6">
        <v>0.63157894736842102</v>
      </c>
      <c r="Y100" s="11">
        <f>VLOOKUP(G100,'[1]historico puntos 2022-2025'!$A$2:$G$19,7,0)</f>
        <v>59</v>
      </c>
      <c r="Z100" t="s">
        <v>40</v>
      </c>
      <c r="AA100">
        <f t="shared" si="5"/>
        <v>98</v>
      </c>
    </row>
    <row r="101" spans="1:27" hidden="1" x14ac:dyDescent="0.3">
      <c r="A101" t="str">
        <f t="shared" si="3"/>
        <v>2023-Atlético San Luis</v>
      </c>
      <c r="B101" t="str">
        <f t="shared" si="4"/>
        <v>2023-León</v>
      </c>
      <c r="C101">
        <v>2023</v>
      </c>
      <c r="D101" t="s">
        <v>15</v>
      </c>
      <c r="E101" s="2">
        <v>3</v>
      </c>
      <c r="F101" s="2">
        <v>0</v>
      </c>
      <c r="G101" t="s">
        <v>36</v>
      </c>
      <c r="H101">
        <v>35.85</v>
      </c>
      <c r="I101">
        <v>3.59</v>
      </c>
      <c r="J101">
        <v>10.77</v>
      </c>
      <c r="K101">
        <v>10.77</v>
      </c>
      <c r="L101">
        <v>10.77</v>
      </c>
      <c r="M101" s="6">
        <v>0.68421052631578949</v>
      </c>
      <c r="N101" s="6">
        <v>5.2631578947368418E-2</v>
      </c>
      <c r="O101" s="6">
        <v>0.26315789473684209</v>
      </c>
      <c r="P101" s="10">
        <v>59</v>
      </c>
      <c r="Q101">
        <v>41.5</v>
      </c>
      <c r="R101">
        <v>4.1500000000000004</v>
      </c>
      <c r="S101">
        <v>12.45</v>
      </c>
      <c r="T101">
        <v>12.45</v>
      </c>
      <c r="U101">
        <v>12.45</v>
      </c>
      <c r="V101" s="6">
        <v>0.27777777777777779</v>
      </c>
      <c r="W101" s="6">
        <v>0.27777777777777779</v>
      </c>
      <c r="X101" s="6">
        <v>0.44444444444444442</v>
      </c>
      <c r="Y101" s="11">
        <f>VLOOKUP(G101,'[1]historico puntos 2022-2025'!$A$2:$G$19,7,0)</f>
        <v>87</v>
      </c>
      <c r="Z101" t="s">
        <v>38</v>
      </c>
      <c r="AA101">
        <f t="shared" si="5"/>
        <v>99</v>
      </c>
    </row>
    <row r="102" spans="1:27" hidden="1" x14ac:dyDescent="0.3">
      <c r="A102" t="str">
        <f t="shared" si="3"/>
        <v>2023-Puebla</v>
      </c>
      <c r="B102" t="str">
        <f t="shared" si="4"/>
        <v>2023-Atlético San Luis</v>
      </c>
      <c r="C102">
        <v>2023</v>
      </c>
      <c r="D102" t="s">
        <v>1</v>
      </c>
      <c r="E102" s="2">
        <v>1</v>
      </c>
      <c r="F102" s="2">
        <v>2</v>
      </c>
      <c r="G102" t="s">
        <v>15</v>
      </c>
      <c r="H102">
        <v>26.7</v>
      </c>
      <c r="I102">
        <v>2.67</v>
      </c>
      <c r="J102">
        <v>8.01</v>
      </c>
      <c r="K102">
        <v>8.01</v>
      </c>
      <c r="L102">
        <v>8.01</v>
      </c>
      <c r="M102" s="6">
        <v>0.23529411764705882</v>
      </c>
      <c r="N102" s="6">
        <v>0.11764705882352941</v>
      </c>
      <c r="O102" s="6">
        <v>0.6470588235294118</v>
      </c>
      <c r="P102" s="10">
        <v>34</v>
      </c>
      <c r="Q102">
        <v>35.85</v>
      </c>
      <c r="R102">
        <v>3.59</v>
      </c>
      <c r="S102">
        <v>10.77</v>
      </c>
      <c r="T102">
        <v>10.77</v>
      </c>
      <c r="U102">
        <v>10.77</v>
      </c>
      <c r="V102" s="6">
        <v>0.21052631578947367</v>
      </c>
      <c r="W102" s="6">
        <v>0.15789473684210525</v>
      </c>
      <c r="X102" s="6">
        <v>0.63157894736842102</v>
      </c>
      <c r="Y102" s="11">
        <f>VLOOKUP(G102,'[1]historico puntos 2022-2025'!$A$2:$G$19,7,0)</f>
        <v>59</v>
      </c>
      <c r="Z102" t="s">
        <v>40</v>
      </c>
      <c r="AA102">
        <f t="shared" si="5"/>
        <v>100</v>
      </c>
    </row>
    <row r="103" spans="1:27" hidden="1" x14ac:dyDescent="0.3">
      <c r="A103" t="str">
        <f t="shared" si="3"/>
        <v>2023-Atlético San Luis</v>
      </c>
      <c r="B103" t="str">
        <f t="shared" si="4"/>
        <v>2023-Querétaro</v>
      </c>
      <c r="C103">
        <v>2023</v>
      </c>
      <c r="D103" t="s">
        <v>15</v>
      </c>
      <c r="E103" s="2">
        <v>4</v>
      </c>
      <c r="F103" s="2">
        <v>1</v>
      </c>
      <c r="G103" t="s">
        <v>22</v>
      </c>
      <c r="H103">
        <v>35.85</v>
      </c>
      <c r="I103">
        <v>3.59</v>
      </c>
      <c r="J103">
        <v>10.77</v>
      </c>
      <c r="K103">
        <v>10.77</v>
      </c>
      <c r="L103">
        <v>10.77</v>
      </c>
      <c r="M103" s="6">
        <v>0.68421052631578949</v>
      </c>
      <c r="N103" s="6">
        <v>5.2631578947368418E-2</v>
      </c>
      <c r="O103" s="6">
        <v>0.26315789473684209</v>
      </c>
      <c r="P103" s="10">
        <v>59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s="6">
        <v>0.17647058823529413</v>
      </c>
      <c r="W103" s="6">
        <v>0.17647058823529413</v>
      </c>
      <c r="X103" s="6">
        <v>0.6470588235294118</v>
      </c>
      <c r="Y103" s="11">
        <f>VLOOKUP(G103,'[1]historico puntos 2022-2025'!$A$2:$G$19,7,0)</f>
        <v>64</v>
      </c>
      <c r="Z103" t="s">
        <v>38</v>
      </c>
      <c r="AA103">
        <f t="shared" si="5"/>
        <v>101</v>
      </c>
    </row>
    <row r="104" spans="1:27" hidden="1" x14ac:dyDescent="0.3">
      <c r="A104" t="str">
        <f t="shared" si="3"/>
        <v>2023-Chivas</v>
      </c>
      <c r="B104" t="str">
        <f t="shared" si="4"/>
        <v>2023-Atlético San Luis</v>
      </c>
      <c r="C104">
        <v>2023</v>
      </c>
      <c r="D104" t="s">
        <v>21</v>
      </c>
      <c r="E104" s="2">
        <v>3</v>
      </c>
      <c r="F104" s="2">
        <v>1</v>
      </c>
      <c r="G104" t="s">
        <v>15</v>
      </c>
      <c r="H104">
        <v>69.7</v>
      </c>
      <c r="I104">
        <v>6.97</v>
      </c>
      <c r="J104">
        <v>20.91</v>
      </c>
      <c r="K104">
        <v>20.91</v>
      </c>
      <c r="L104">
        <v>20.91</v>
      </c>
      <c r="M104" s="6">
        <v>0.44444444444444442</v>
      </c>
      <c r="N104" s="6">
        <v>0.33333333333333331</v>
      </c>
      <c r="O104" s="6">
        <v>0.22222222222222221</v>
      </c>
      <c r="P104" s="10">
        <v>99</v>
      </c>
      <c r="Q104">
        <v>35.85</v>
      </c>
      <c r="R104">
        <v>3.59</v>
      </c>
      <c r="S104">
        <v>10.77</v>
      </c>
      <c r="T104">
        <v>10.77</v>
      </c>
      <c r="U104">
        <v>10.77</v>
      </c>
      <c r="V104" s="6">
        <v>0.21052631578947367</v>
      </c>
      <c r="W104" s="6">
        <v>0.15789473684210525</v>
      </c>
      <c r="X104" s="6">
        <v>0.63157894736842102</v>
      </c>
      <c r="Y104" s="11">
        <f>VLOOKUP(G104,'[1]historico puntos 2022-2025'!$A$2:$G$19,7,0)</f>
        <v>59</v>
      </c>
      <c r="Z104" t="s">
        <v>38</v>
      </c>
      <c r="AA104">
        <f t="shared" si="5"/>
        <v>102</v>
      </c>
    </row>
    <row r="105" spans="1:27" hidden="1" x14ac:dyDescent="0.3">
      <c r="A105" t="str">
        <f t="shared" si="3"/>
        <v>2023-Atlético San Luis</v>
      </c>
      <c r="B105" t="str">
        <f t="shared" si="4"/>
        <v>2023-Monterrey</v>
      </c>
      <c r="C105">
        <v>2023</v>
      </c>
      <c r="D105" t="s">
        <v>15</v>
      </c>
      <c r="E105" s="2">
        <v>1</v>
      </c>
      <c r="F105" s="2">
        <v>1</v>
      </c>
      <c r="G105" t="s">
        <v>3</v>
      </c>
      <c r="H105">
        <v>35.85</v>
      </c>
      <c r="I105">
        <v>3.59</v>
      </c>
      <c r="J105">
        <v>10.77</v>
      </c>
      <c r="K105">
        <v>10.77</v>
      </c>
      <c r="L105">
        <v>10.77</v>
      </c>
      <c r="M105" s="6">
        <v>0.68421052631578949</v>
      </c>
      <c r="N105" s="6">
        <v>5.2631578947368418E-2</v>
      </c>
      <c r="O105" s="6">
        <v>0.26315789473684209</v>
      </c>
      <c r="P105" s="10">
        <v>59</v>
      </c>
      <c r="Q105">
        <v>88.1</v>
      </c>
      <c r="R105">
        <v>8.81</v>
      </c>
      <c r="S105">
        <v>26.43</v>
      </c>
      <c r="T105">
        <v>26.43</v>
      </c>
      <c r="U105">
        <v>26.43</v>
      </c>
      <c r="V105" s="6">
        <v>0.38095238095238093</v>
      </c>
      <c r="W105" s="6">
        <v>0.23809523809523808</v>
      </c>
      <c r="X105" s="6">
        <v>0.38095238095238093</v>
      </c>
      <c r="Y105" s="11">
        <f>VLOOKUP(G105,'[1]historico puntos 2022-2025'!$A$2:$G$19,7,0)</f>
        <v>118</v>
      </c>
      <c r="Z105" t="s">
        <v>39</v>
      </c>
      <c r="AA105">
        <f t="shared" si="5"/>
        <v>103</v>
      </c>
    </row>
    <row r="106" spans="1:27" hidden="1" x14ac:dyDescent="0.3">
      <c r="A106" t="str">
        <f t="shared" si="3"/>
        <v>2024-América</v>
      </c>
      <c r="B106" t="str">
        <f t="shared" si="4"/>
        <v>2024-Cruz Azul</v>
      </c>
      <c r="C106">
        <v>2024</v>
      </c>
      <c r="D106" t="s">
        <v>14</v>
      </c>
      <c r="E106" s="2">
        <v>1</v>
      </c>
      <c r="F106" s="2">
        <v>0</v>
      </c>
      <c r="G106" t="s">
        <v>10</v>
      </c>
      <c r="H106">
        <v>92.45</v>
      </c>
      <c r="I106">
        <v>9.25</v>
      </c>
      <c r="J106">
        <v>27.73</v>
      </c>
      <c r="K106">
        <v>27.73</v>
      </c>
      <c r="L106">
        <v>27.73</v>
      </c>
      <c r="M106" s="6">
        <v>0.65217391304347827</v>
      </c>
      <c r="N106" s="6">
        <v>0.21739130434782608</v>
      </c>
      <c r="O106" s="6">
        <v>0.13043478260869565</v>
      </c>
      <c r="P106" s="10">
        <v>133</v>
      </c>
      <c r="Q106">
        <v>78.849999999999994</v>
      </c>
      <c r="R106">
        <v>7.89</v>
      </c>
      <c r="S106">
        <v>23.66</v>
      </c>
      <c r="T106">
        <v>23.66</v>
      </c>
      <c r="U106">
        <v>23.66</v>
      </c>
      <c r="V106" s="6">
        <v>0.52380952380952384</v>
      </c>
      <c r="W106" s="6">
        <v>0.23809523809523808</v>
      </c>
      <c r="X106" s="6">
        <v>0.23809523809523808</v>
      </c>
      <c r="Y106" s="11">
        <f>VLOOKUP(G106,'[1]historico puntos 2022-2025'!$A$2:$G$19,7,0)</f>
        <v>107</v>
      </c>
      <c r="Z106" t="s">
        <v>38</v>
      </c>
      <c r="AA106">
        <f t="shared" si="5"/>
        <v>104</v>
      </c>
    </row>
    <row r="107" spans="1:27" hidden="1" x14ac:dyDescent="0.3">
      <c r="A107" t="str">
        <f t="shared" si="3"/>
        <v>2024-Cruz Azul</v>
      </c>
      <c r="B107" t="str">
        <f t="shared" si="4"/>
        <v>2024-América</v>
      </c>
      <c r="C107">
        <v>2024</v>
      </c>
      <c r="D107" t="s">
        <v>10</v>
      </c>
      <c r="E107" s="2">
        <v>1</v>
      </c>
      <c r="F107" s="2">
        <v>1</v>
      </c>
      <c r="G107" t="s">
        <v>14</v>
      </c>
      <c r="H107">
        <v>78.849999999999994</v>
      </c>
      <c r="I107">
        <v>7.89</v>
      </c>
      <c r="J107">
        <v>23.66</v>
      </c>
      <c r="K107">
        <v>23.66</v>
      </c>
      <c r="L107">
        <v>23.66</v>
      </c>
      <c r="M107" s="6">
        <v>0.7142857142857143</v>
      </c>
      <c r="N107" s="6">
        <v>0.23809523809523808</v>
      </c>
      <c r="O107" s="6">
        <v>4.7619047619047616E-2</v>
      </c>
      <c r="P107" s="10">
        <v>107</v>
      </c>
      <c r="Q107">
        <v>92.45</v>
      </c>
      <c r="R107">
        <v>9.25</v>
      </c>
      <c r="S107">
        <v>27.73</v>
      </c>
      <c r="T107">
        <v>27.73</v>
      </c>
      <c r="U107">
        <v>27.73</v>
      </c>
      <c r="V107" s="6">
        <v>0.375</v>
      </c>
      <c r="W107" s="6">
        <v>0.29166666666666669</v>
      </c>
      <c r="X107" s="6">
        <v>0.33333333333333331</v>
      </c>
      <c r="Y107" s="11">
        <f>VLOOKUP(G107,'[1]historico puntos 2022-2025'!$A$2:$G$19,7,0)</f>
        <v>133</v>
      </c>
      <c r="Z107" t="s">
        <v>39</v>
      </c>
      <c r="AA107">
        <f t="shared" si="5"/>
        <v>105</v>
      </c>
    </row>
    <row r="108" spans="1:27" hidden="1" x14ac:dyDescent="0.3">
      <c r="A108" t="str">
        <f t="shared" si="3"/>
        <v>2024-Cruz Azul</v>
      </c>
      <c r="B108" t="str">
        <f t="shared" si="4"/>
        <v>2024-Monterrey</v>
      </c>
      <c r="C108">
        <v>2024</v>
      </c>
      <c r="D108" t="s">
        <v>10</v>
      </c>
      <c r="E108" s="2">
        <v>1</v>
      </c>
      <c r="F108" s="2">
        <v>2</v>
      </c>
      <c r="G108" t="s">
        <v>3</v>
      </c>
      <c r="H108">
        <v>78.849999999999994</v>
      </c>
      <c r="I108">
        <v>7.89</v>
      </c>
      <c r="J108">
        <v>23.66</v>
      </c>
      <c r="K108">
        <v>23.66</v>
      </c>
      <c r="L108">
        <v>23.66</v>
      </c>
      <c r="M108" s="6">
        <v>0.7142857142857143</v>
      </c>
      <c r="N108" s="6">
        <v>0.23809523809523808</v>
      </c>
      <c r="O108" s="6">
        <v>4.7619047619047616E-2</v>
      </c>
      <c r="P108" s="10">
        <v>107</v>
      </c>
      <c r="Q108">
        <v>88.6</v>
      </c>
      <c r="R108">
        <v>8.86</v>
      </c>
      <c r="S108">
        <v>26.58</v>
      </c>
      <c r="T108">
        <v>26.58</v>
      </c>
      <c r="U108">
        <v>26.58</v>
      </c>
      <c r="V108" s="6">
        <v>0.38095238095238093</v>
      </c>
      <c r="W108" s="6">
        <v>0.23809523809523808</v>
      </c>
      <c r="X108" s="6">
        <v>0.38095238095238093</v>
      </c>
      <c r="Y108" s="11">
        <f>VLOOKUP(G108,'[1]historico puntos 2022-2025'!$A$2:$G$19,7,0)</f>
        <v>118</v>
      </c>
      <c r="Z108" t="s">
        <v>40</v>
      </c>
      <c r="AA108">
        <f t="shared" si="5"/>
        <v>106</v>
      </c>
    </row>
    <row r="109" spans="1:27" hidden="1" x14ac:dyDescent="0.3">
      <c r="A109" t="str">
        <f t="shared" si="3"/>
        <v>2024-Monterrey</v>
      </c>
      <c r="B109" t="str">
        <f t="shared" si="4"/>
        <v>2024-Cruz Azul</v>
      </c>
      <c r="C109">
        <v>2024</v>
      </c>
      <c r="D109" t="s">
        <v>3</v>
      </c>
      <c r="E109" s="2">
        <v>0</v>
      </c>
      <c r="F109" s="2">
        <v>1</v>
      </c>
      <c r="G109" t="s">
        <v>10</v>
      </c>
      <c r="H109">
        <v>88.6</v>
      </c>
      <c r="I109">
        <v>8.86</v>
      </c>
      <c r="J109">
        <v>26.58</v>
      </c>
      <c r="K109">
        <v>26.58</v>
      </c>
      <c r="L109">
        <v>26.58</v>
      </c>
      <c r="M109" s="6">
        <v>0.60869565217391308</v>
      </c>
      <c r="N109" s="6">
        <v>0.17391304347826086</v>
      </c>
      <c r="O109" s="6">
        <v>0.21739130434782608</v>
      </c>
      <c r="P109" s="10">
        <v>118</v>
      </c>
      <c r="Q109">
        <v>78.849999999999994</v>
      </c>
      <c r="R109">
        <v>7.89</v>
      </c>
      <c r="S109">
        <v>23.66</v>
      </c>
      <c r="T109">
        <v>23.66</v>
      </c>
      <c r="U109">
        <v>23.66</v>
      </c>
      <c r="V109" s="6">
        <v>0.52380952380952384</v>
      </c>
      <c r="W109" s="6">
        <v>0.23809523809523808</v>
      </c>
      <c r="X109" s="6">
        <v>0.23809523809523808</v>
      </c>
      <c r="Y109" s="11">
        <f>VLOOKUP(G109,'[1]historico puntos 2022-2025'!$A$2:$G$19,7,0)</f>
        <v>107</v>
      </c>
      <c r="Z109" t="s">
        <v>40</v>
      </c>
      <c r="AA109">
        <f t="shared" si="5"/>
        <v>107</v>
      </c>
    </row>
    <row r="110" spans="1:27" hidden="1" x14ac:dyDescent="0.3">
      <c r="A110" t="str">
        <f t="shared" si="3"/>
        <v>2024-Cruz Azul</v>
      </c>
      <c r="B110" t="str">
        <f t="shared" si="4"/>
        <v>2024-Pumas</v>
      </c>
      <c r="C110">
        <v>2024</v>
      </c>
      <c r="D110" t="s">
        <v>10</v>
      </c>
      <c r="E110" s="2">
        <v>2</v>
      </c>
      <c r="F110" s="2">
        <v>2</v>
      </c>
      <c r="G110" t="s">
        <v>16</v>
      </c>
      <c r="H110">
        <v>78.849999999999994</v>
      </c>
      <c r="I110">
        <v>7.89</v>
      </c>
      <c r="J110">
        <v>23.66</v>
      </c>
      <c r="K110">
        <v>23.66</v>
      </c>
      <c r="L110">
        <v>23.66</v>
      </c>
      <c r="M110" s="6">
        <v>0.7142857142857143</v>
      </c>
      <c r="N110" s="6">
        <v>0.23809523809523808</v>
      </c>
      <c r="O110" s="6">
        <v>4.7619047619047616E-2</v>
      </c>
      <c r="P110" s="10">
        <v>107</v>
      </c>
      <c r="Q110">
        <v>47.6</v>
      </c>
      <c r="R110">
        <v>4.76</v>
      </c>
      <c r="S110">
        <v>14.28</v>
      </c>
      <c r="T110">
        <v>14.28</v>
      </c>
      <c r="U110">
        <v>14.28</v>
      </c>
      <c r="V110" s="6">
        <v>0.3</v>
      </c>
      <c r="W110" s="6">
        <v>0.25</v>
      </c>
      <c r="X110" s="6">
        <v>0.45</v>
      </c>
      <c r="Y110" s="11">
        <f>VLOOKUP(G110,'[1]historico puntos 2022-2025'!$A$2:$G$19,7,0)</f>
        <v>75</v>
      </c>
      <c r="Z110" t="s">
        <v>39</v>
      </c>
      <c r="AA110">
        <f t="shared" si="5"/>
        <v>108</v>
      </c>
    </row>
    <row r="111" spans="1:27" hidden="1" x14ac:dyDescent="0.3">
      <c r="A111" t="str">
        <f t="shared" si="3"/>
        <v>2024-Pumas</v>
      </c>
      <c r="B111" t="str">
        <f t="shared" si="4"/>
        <v>2024-Cruz Azul</v>
      </c>
      <c r="C111">
        <v>2024</v>
      </c>
      <c r="D111" t="s">
        <v>16</v>
      </c>
      <c r="E111" s="2">
        <v>0</v>
      </c>
      <c r="F111" s="2">
        <v>2</v>
      </c>
      <c r="G111" t="s">
        <v>10</v>
      </c>
      <c r="H111">
        <v>47.6</v>
      </c>
      <c r="I111">
        <v>4.76</v>
      </c>
      <c r="J111">
        <v>14.28</v>
      </c>
      <c r="K111">
        <v>14.28</v>
      </c>
      <c r="L111">
        <v>14.28</v>
      </c>
      <c r="M111" s="6">
        <v>0.5</v>
      </c>
      <c r="N111" s="6">
        <v>0.16666666666666666</v>
      </c>
      <c r="O111" s="6">
        <v>0.33333333333333331</v>
      </c>
      <c r="P111" s="10">
        <v>75</v>
      </c>
      <c r="Q111">
        <v>78.849999999999994</v>
      </c>
      <c r="R111">
        <v>7.89</v>
      </c>
      <c r="S111">
        <v>23.66</v>
      </c>
      <c r="T111">
        <v>23.66</v>
      </c>
      <c r="U111">
        <v>23.66</v>
      </c>
      <c r="V111" s="6">
        <v>0.52380952380952384</v>
      </c>
      <c r="W111" s="6">
        <v>0.23809523809523808</v>
      </c>
      <c r="X111" s="6">
        <v>0.23809523809523808</v>
      </c>
      <c r="Y111" s="11">
        <f>VLOOKUP(G111,'[1]historico puntos 2022-2025'!$A$2:$G$19,7,0)</f>
        <v>107</v>
      </c>
      <c r="Z111" t="s">
        <v>40</v>
      </c>
      <c r="AA111">
        <f t="shared" si="5"/>
        <v>109</v>
      </c>
    </row>
    <row r="112" spans="1:27" hidden="1" x14ac:dyDescent="0.3">
      <c r="A112" t="str">
        <f t="shared" si="3"/>
        <v>2024-Toluca</v>
      </c>
      <c r="B112" t="str">
        <f t="shared" si="4"/>
        <v>2024-Cruz Azul</v>
      </c>
      <c r="C112">
        <v>2024</v>
      </c>
      <c r="D112" t="s">
        <v>2</v>
      </c>
      <c r="E112" s="2">
        <v>0</v>
      </c>
      <c r="F112" s="2">
        <v>1</v>
      </c>
      <c r="G112" t="s">
        <v>10</v>
      </c>
      <c r="H112">
        <v>77.45</v>
      </c>
      <c r="I112">
        <v>7.75</v>
      </c>
      <c r="J112">
        <v>23.24</v>
      </c>
      <c r="K112">
        <v>23.24</v>
      </c>
      <c r="L112">
        <v>23.24</v>
      </c>
      <c r="M112" s="6">
        <v>0.76190476190476186</v>
      </c>
      <c r="N112" s="6">
        <v>0.19047619047619047</v>
      </c>
      <c r="O112" s="6">
        <v>4.7619047619047616E-2</v>
      </c>
      <c r="P112" s="10">
        <v>118</v>
      </c>
      <c r="Q112">
        <v>78.849999999999994</v>
      </c>
      <c r="R112">
        <v>7.89</v>
      </c>
      <c r="S112">
        <v>23.66</v>
      </c>
      <c r="T112">
        <v>23.66</v>
      </c>
      <c r="U112">
        <v>23.66</v>
      </c>
      <c r="V112" s="6">
        <v>0.52380952380952384</v>
      </c>
      <c r="W112" s="6">
        <v>0.23809523809523808</v>
      </c>
      <c r="X112" s="6">
        <v>0.23809523809523808</v>
      </c>
      <c r="Y112" s="11">
        <f>VLOOKUP(G112,'[1]historico puntos 2022-2025'!$A$2:$G$19,7,0)</f>
        <v>107</v>
      </c>
      <c r="Z112" t="s">
        <v>40</v>
      </c>
      <c r="AA112">
        <f t="shared" si="5"/>
        <v>110</v>
      </c>
    </row>
    <row r="113" spans="1:27" hidden="1" x14ac:dyDescent="0.3">
      <c r="A113" t="str">
        <f t="shared" si="3"/>
        <v>2024-Cruz Azul</v>
      </c>
      <c r="B113" t="str">
        <f t="shared" si="4"/>
        <v>2024-Atlas</v>
      </c>
      <c r="C113">
        <v>2024</v>
      </c>
      <c r="D113" t="s">
        <v>10</v>
      </c>
      <c r="E113" s="2">
        <v>2</v>
      </c>
      <c r="F113" s="2">
        <v>2</v>
      </c>
      <c r="G113" t="s">
        <v>5</v>
      </c>
      <c r="H113">
        <v>78.849999999999994</v>
      </c>
      <c r="I113">
        <v>7.89</v>
      </c>
      <c r="J113">
        <v>23.66</v>
      </c>
      <c r="K113">
        <v>23.66</v>
      </c>
      <c r="L113">
        <v>23.66</v>
      </c>
      <c r="M113" s="6">
        <v>0.7142857142857143</v>
      </c>
      <c r="N113" s="6">
        <v>0.23809523809523808</v>
      </c>
      <c r="O113" s="6">
        <v>4.7619047619047616E-2</v>
      </c>
      <c r="P113" s="10">
        <v>107</v>
      </c>
      <c r="Q113">
        <v>28.95</v>
      </c>
      <c r="R113">
        <v>2.9</v>
      </c>
      <c r="S113">
        <v>8.68</v>
      </c>
      <c r="T113">
        <v>8.68</v>
      </c>
      <c r="U113">
        <v>8.68</v>
      </c>
      <c r="V113" s="6">
        <v>0.26315789473684209</v>
      </c>
      <c r="W113" s="6">
        <v>0.31578947368421051</v>
      </c>
      <c r="X113" s="6">
        <v>0.42105263157894735</v>
      </c>
      <c r="Y113" s="11">
        <f>VLOOKUP(G113,'[1]historico puntos 2022-2025'!$A$2:$G$19,7,0)</f>
        <v>60</v>
      </c>
      <c r="Z113" t="s">
        <v>39</v>
      </c>
      <c r="AA113">
        <f t="shared" si="5"/>
        <v>111</v>
      </c>
    </row>
    <row r="114" spans="1:27" hidden="1" x14ac:dyDescent="0.3">
      <c r="A114" t="str">
        <f t="shared" si="3"/>
        <v>2024-Puebla</v>
      </c>
      <c r="B114" t="str">
        <f t="shared" si="4"/>
        <v>2024-Cruz Azul</v>
      </c>
      <c r="C114">
        <v>2024</v>
      </c>
      <c r="D114" t="s">
        <v>1</v>
      </c>
      <c r="E114" s="2">
        <v>0</v>
      </c>
      <c r="F114" s="2">
        <v>1</v>
      </c>
      <c r="G114" t="s">
        <v>10</v>
      </c>
      <c r="H114">
        <v>24.1</v>
      </c>
      <c r="I114">
        <v>2.41</v>
      </c>
      <c r="J114">
        <v>7.23</v>
      </c>
      <c r="K114">
        <v>7.23</v>
      </c>
      <c r="L114">
        <v>7.23</v>
      </c>
      <c r="M114" s="6">
        <v>0.23529411764705882</v>
      </c>
      <c r="N114" s="6">
        <v>0.11764705882352941</v>
      </c>
      <c r="O114" s="6">
        <v>0.6470588235294118</v>
      </c>
      <c r="P114" s="10">
        <v>34</v>
      </c>
      <c r="Q114">
        <v>78.849999999999994</v>
      </c>
      <c r="R114">
        <v>7.89</v>
      </c>
      <c r="S114">
        <v>23.66</v>
      </c>
      <c r="T114">
        <v>23.66</v>
      </c>
      <c r="U114">
        <v>23.66</v>
      </c>
      <c r="V114" s="6">
        <v>0.52380952380952384</v>
      </c>
      <c r="W114" s="6">
        <v>0.23809523809523808</v>
      </c>
      <c r="X114" s="6">
        <v>0.23809523809523808</v>
      </c>
      <c r="Y114" s="11">
        <f>VLOOKUP(G114,'[1]historico puntos 2022-2025'!$A$2:$G$19,7,0)</f>
        <v>107</v>
      </c>
      <c r="Z114" t="s">
        <v>40</v>
      </c>
      <c r="AA114">
        <f t="shared" si="5"/>
        <v>112</v>
      </c>
    </row>
    <row r="115" spans="1:27" hidden="1" x14ac:dyDescent="0.3">
      <c r="A115" t="str">
        <f t="shared" si="3"/>
        <v>2024-Cruz Azul</v>
      </c>
      <c r="B115" t="str">
        <f t="shared" si="4"/>
        <v>2024-Monterrey</v>
      </c>
      <c r="C115">
        <v>2024</v>
      </c>
      <c r="D115" t="s">
        <v>10</v>
      </c>
      <c r="E115" s="2">
        <v>2</v>
      </c>
      <c r="F115" s="2">
        <v>1</v>
      </c>
      <c r="G115" t="s">
        <v>3</v>
      </c>
      <c r="H115">
        <v>78.849999999999994</v>
      </c>
      <c r="I115">
        <v>7.89</v>
      </c>
      <c r="J115">
        <v>23.66</v>
      </c>
      <c r="K115">
        <v>23.66</v>
      </c>
      <c r="L115">
        <v>23.66</v>
      </c>
      <c r="M115" s="6">
        <v>0.7142857142857143</v>
      </c>
      <c r="N115" s="6">
        <v>0.23809523809523808</v>
      </c>
      <c r="O115" s="6">
        <v>4.7619047619047616E-2</v>
      </c>
      <c r="P115" s="10">
        <v>107</v>
      </c>
      <c r="Q115">
        <v>88.6</v>
      </c>
      <c r="R115">
        <v>8.86</v>
      </c>
      <c r="S115">
        <v>26.58</v>
      </c>
      <c r="T115">
        <v>26.58</v>
      </c>
      <c r="U115">
        <v>26.58</v>
      </c>
      <c r="V115" s="6">
        <v>0.38095238095238093</v>
      </c>
      <c r="W115" s="6">
        <v>0.23809523809523808</v>
      </c>
      <c r="X115" s="6">
        <v>0.38095238095238093</v>
      </c>
      <c r="Y115" s="11">
        <f>VLOOKUP(G115,'[1]historico puntos 2022-2025'!$A$2:$G$19,7,0)</f>
        <v>118</v>
      </c>
      <c r="Z115" t="s">
        <v>38</v>
      </c>
      <c r="AA115">
        <f t="shared" si="5"/>
        <v>113</v>
      </c>
    </row>
    <row r="116" spans="1:27" hidden="1" x14ac:dyDescent="0.3">
      <c r="A116" t="str">
        <f t="shared" si="3"/>
        <v>2024-Pumas</v>
      </c>
      <c r="B116" t="str">
        <f t="shared" si="4"/>
        <v>2024-Cruz Azul</v>
      </c>
      <c r="C116">
        <v>2024</v>
      </c>
      <c r="D116" t="s">
        <v>16</v>
      </c>
      <c r="E116" s="2">
        <v>0</v>
      </c>
      <c r="F116" s="2">
        <v>0</v>
      </c>
      <c r="G116" t="s">
        <v>10</v>
      </c>
      <c r="H116">
        <v>47.6</v>
      </c>
      <c r="I116">
        <v>4.76</v>
      </c>
      <c r="J116">
        <v>14.28</v>
      </c>
      <c r="K116">
        <v>14.28</v>
      </c>
      <c r="L116">
        <v>14.28</v>
      </c>
      <c r="M116" s="6">
        <v>0.5</v>
      </c>
      <c r="N116" s="6">
        <v>0.16666666666666666</v>
      </c>
      <c r="O116" s="6">
        <v>0.33333333333333331</v>
      </c>
      <c r="P116" s="10">
        <v>75</v>
      </c>
      <c r="Q116">
        <v>78.849999999999994</v>
      </c>
      <c r="R116">
        <v>7.89</v>
      </c>
      <c r="S116">
        <v>23.66</v>
      </c>
      <c r="T116">
        <v>23.66</v>
      </c>
      <c r="U116">
        <v>23.66</v>
      </c>
      <c r="V116" s="6">
        <v>0.52380952380952384</v>
      </c>
      <c r="W116" s="6">
        <v>0.23809523809523808</v>
      </c>
      <c r="X116" s="6">
        <v>0.23809523809523808</v>
      </c>
      <c r="Y116" s="11">
        <f>VLOOKUP(G116,'[1]historico puntos 2022-2025'!$A$2:$G$19,7,0)</f>
        <v>107</v>
      </c>
      <c r="Z116" t="s">
        <v>39</v>
      </c>
      <c r="AA116">
        <f t="shared" si="5"/>
        <v>114</v>
      </c>
    </row>
    <row r="117" spans="1:27" hidden="1" x14ac:dyDescent="0.3">
      <c r="A117" t="str">
        <f t="shared" si="3"/>
        <v>2024-Cruz Azul</v>
      </c>
      <c r="B117" t="str">
        <f t="shared" si="4"/>
        <v>2024-Necaxa</v>
      </c>
      <c r="C117">
        <v>2024</v>
      </c>
      <c r="D117" t="s">
        <v>10</v>
      </c>
      <c r="E117" s="2">
        <v>1</v>
      </c>
      <c r="F117" s="2">
        <v>2</v>
      </c>
      <c r="G117" t="s">
        <v>4</v>
      </c>
      <c r="H117">
        <v>78.849999999999994</v>
      </c>
      <c r="I117">
        <v>7.89</v>
      </c>
      <c r="J117">
        <v>23.66</v>
      </c>
      <c r="K117">
        <v>23.66</v>
      </c>
      <c r="L117">
        <v>23.66</v>
      </c>
      <c r="M117" s="6">
        <v>0.7142857142857143</v>
      </c>
      <c r="N117" s="6">
        <v>0.23809523809523808</v>
      </c>
      <c r="O117" s="6">
        <v>4.7619047619047616E-2</v>
      </c>
      <c r="P117" s="10">
        <v>107</v>
      </c>
      <c r="Q117">
        <v>38.5</v>
      </c>
      <c r="R117">
        <v>3.85</v>
      </c>
      <c r="S117">
        <v>11.55</v>
      </c>
      <c r="T117">
        <v>11.55</v>
      </c>
      <c r="U117">
        <v>11.55</v>
      </c>
      <c r="V117" s="6">
        <v>0.27777777777777779</v>
      </c>
      <c r="W117" s="6">
        <v>0.27777777777777779</v>
      </c>
      <c r="X117" s="6">
        <v>0.44444444444444442</v>
      </c>
      <c r="Y117" s="11">
        <f>VLOOKUP(G117,'[1]historico puntos 2022-2025'!$A$2:$G$19,7,0)</f>
        <v>77</v>
      </c>
      <c r="Z117" t="s">
        <v>40</v>
      </c>
      <c r="AA117">
        <f t="shared" si="5"/>
        <v>115</v>
      </c>
    </row>
    <row r="118" spans="1:27" hidden="1" x14ac:dyDescent="0.3">
      <c r="A118" t="str">
        <f t="shared" si="3"/>
        <v>2024-Cruz Azul</v>
      </c>
      <c r="B118" t="str">
        <f t="shared" si="4"/>
        <v>2024-Chivas</v>
      </c>
      <c r="C118">
        <v>2024</v>
      </c>
      <c r="D118" t="s">
        <v>10</v>
      </c>
      <c r="E118" s="2">
        <v>3</v>
      </c>
      <c r="F118" s="2">
        <v>0</v>
      </c>
      <c r="G118" t="s">
        <v>21</v>
      </c>
      <c r="H118">
        <v>78.849999999999994</v>
      </c>
      <c r="I118">
        <v>7.89</v>
      </c>
      <c r="J118">
        <v>23.66</v>
      </c>
      <c r="K118">
        <v>23.66</v>
      </c>
      <c r="L118">
        <v>23.66</v>
      </c>
      <c r="M118" s="6">
        <v>0.7142857142857143</v>
      </c>
      <c r="N118" s="6">
        <v>0.23809523809523808</v>
      </c>
      <c r="O118" s="6">
        <v>4.7619047619047616E-2</v>
      </c>
      <c r="P118" s="10">
        <v>107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s="6">
        <v>0.23529411764705882</v>
      </c>
      <c r="W118" s="6">
        <v>0.23529411764705882</v>
      </c>
      <c r="X118" s="6">
        <v>0.52941176470588236</v>
      </c>
      <c r="Y118" s="11">
        <f>VLOOKUP(G118,'[1]historico puntos 2022-2025'!$A$2:$G$19,7,0)</f>
        <v>99</v>
      </c>
      <c r="Z118" t="s">
        <v>38</v>
      </c>
      <c r="AA118">
        <f t="shared" si="5"/>
        <v>116</v>
      </c>
    </row>
    <row r="119" spans="1:27" hidden="1" x14ac:dyDescent="0.3">
      <c r="A119" t="str">
        <f t="shared" si="3"/>
        <v>2024-América</v>
      </c>
      <c r="B119" t="str">
        <f t="shared" si="4"/>
        <v>2024-Cruz Azul</v>
      </c>
      <c r="C119">
        <v>2024</v>
      </c>
      <c r="D119" t="s">
        <v>14</v>
      </c>
      <c r="E119" s="2">
        <v>1</v>
      </c>
      <c r="F119" s="2">
        <v>0</v>
      </c>
      <c r="G119" t="s">
        <v>10</v>
      </c>
      <c r="H119">
        <v>92.45</v>
      </c>
      <c r="I119">
        <v>9.25</v>
      </c>
      <c r="J119">
        <v>27.73</v>
      </c>
      <c r="K119">
        <v>27.73</v>
      </c>
      <c r="L119">
        <v>27.73</v>
      </c>
      <c r="M119" s="6">
        <v>0.65217391304347827</v>
      </c>
      <c r="N119" s="6">
        <v>0.21739130434782608</v>
      </c>
      <c r="O119" s="6">
        <v>0.13043478260869565</v>
      </c>
      <c r="P119" s="10">
        <v>133</v>
      </c>
      <c r="Q119">
        <v>78.849999999999994</v>
      </c>
      <c r="R119">
        <v>7.89</v>
      </c>
      <c r="S119">
        <v>23.66</v>
      </c>
      <c r="T119">
        <v>23.66</v>
      </c>
      <c r="U119">
        <v>23.66</v>
      </c>
      <c r="V119" s="6">
        <v>0.52380952380952384</v>
      </c>
      <c r="W119" s="6">
        <v>0.23809523809523808</v>
      </c>
      <c r="X119" s="6">
        <v>0.23809523809523808</v>
      </c>
      <c r="Y119" s="11">
        <f>VLOOKUP(G119,'[1]historico puntos 2022-2025'!$A$2:$G$19,7,0)</f>
        <v>107</v>
      </c>
      <c r="Z119" t="s">
        <v>38</v>
      </c>
      <c r="AA119">
        <f t="shared" si="5"/>
        <v>117</v>
      </c>
    </row>
    <row r="120" spans="1:27" hidden="1" x14ac:dyDescent="0.3">
      <c r="A120" t="str">
        <f t="shared" si="3"/>
        <v>2024-León</v>
      </c>
      <c r="B120" t="str">
        <f t="shared" si="4"/>
        <v>2024-Cruz Azul</v>
      </c>
      <c r="C120">
        <v>2024</v>
      </c>
      <c r="D120" t="s">
        <v>36</v>
      </c>
      <c r="E120" s="2">
        <v>2</v>
      </c>
      <c r="F120" s="2">
        <v>3</v>
      </c>
      <c r="G120" t="s">
        <v>10</v>
      </c>
      <c r="H120">
        <v>29.55</v>
      </c>
      <c r="I120">
        <v>2.96</v>
      </c>
      <c r="J120">
        <v>8.8699999999999992</v>
      </c>
      <c r="K120">
        <v>8.8699999999999992</v>
      </c>
      <c r="L120">
        <v>8.8699999999999992</v>
      </c>
      <c r="M120" s="6">
        <v>0.3888888888888889</v>
      </c>
      <c r="N120" s="6">
        <v>0.3888888888888889</v>
      </c>
      <c r="O120" s="6">
        <v>0.22222222222222221</v>
      </c>
      <c r="P120" s="10">
        <v>87</v>
      </c>
      <c r="Q120">
        <v>78.849999999999994</v>
      </c>
      <c r="R120">
        <v>7.89</v>
      </c>
      <c r="S120">
        <v>23.66</v>
      </c>
      <c r="T120">
        <v>23.66</v>
      </c>
      <c r="U120">
        <v>23.66</v>
      </c>
      <c r="V120" s="6">
        <v>0.52380952380952384</v>
      </c>
      <c r="W120" s="6">
        <v>0.23809523809523808</v>
      </c>
      <c r="X120" s="6">
        <v>0.23809523809523808</v>
      </c>
      <c r="Y120" s="11">
        <f>VLOOKUP(G120,'[1]historico puntos 2022-2025'!$A$2:$G$19,7,0)</f>
        <v>107</v>
      </c>
      <c r="Z120" t="s">
        <v>40</v>
      </c>
      <c r="AA120">
        <f t="shared" si="5"/>
        <v>118</v>
      </c>
    </row>
    <row r="121" spans="1:27" hidden="1" x14ac:dyDescent="0.3">
      <c r="A121" t="str">
        <f t="shared" si="3"/>
        <v>2024-Cruz Azul</v>
      </c>
      <c r="B121" t="str">
        <f t="shared" si="4"/>
        <v>2024-Atlético San Luis</v>
      </c>
      <c r="C121">
        <v>2024</v>
      </c>
      <c r="D121" t="s">
        <v>10</v>
      </c>
      <c r="E121" s="2">
        <v>3</v>
      </c>
      <c r="F121" s="2">
        <v>0</v>
      </c>
      <c r="G121" t="s">
        <v>15</v>
      </c>
      <c r="H121">
        <v>78.849999999999994</v>
      </c>
      <c r="I121">
        <v>7.89</v>
      </c>
      <c r="J121">
        <v>23.66</v>
      </c>
      <c r="K121">
        <v>23.66</v>
      </c>
      <c r="L121">
        <v>23.66</v>
      </c>
      <c r="M121" s="6">
        <v>0.7142857142857143</v>
      </c>
      <c r="N121" s="6">
        <v>0.23809523809523808</v>
      </c>
      <c r="O121" s="6">
        <v>4.7619047619047616E-2</v>
      </c>
      <c r="P121" s="10">
        <v>107</v>
      </c>
      <c r="Q121">
        <v>45.95</v>
      </c>
      <c r="R121">
        <v>4.5999999999999996</v>
      </c>
      <c r="S121">
        <v>13.84</v>
      </c>
      <c r="T121">
        <v>13.84</v>
      </c>
      <c r="U121">
        <v>13.84</v>
      </c>
      <c r="V121" s="6">
        <v>0.21052631578947367</v>
      </c>
      <c r="W121" s="6">
        <v>0.15789473684210525</v>
      </c>
      <c r="X121" s="6">
        <v>0.63157894736842102</v>
      </c>
      <c r="Y121" s="11">
        <f>VLOOKUP(G121,'[1]historico puntos 2022-2025'!$A$2:$G$19,7,0)</f>
        <v>59</v>
      </c>
      <c r="Z121" t="s">
        <v>38</v>
      </c>
      <c r="AA121">
        <f t="shared" si="5"/>
        <v>119</v>
      </c>
    </row>
    <row r="122" spans="1:27" hidden="1" x14ac:dyDescent="0.3">
      <c r="A122" t="str">
        <f t="shared" si="3"/>
        <v>2024-Querétaro</v>
      </c>
      <c r="B122" t="str">
        <f t="shared" si="4"/>
        <v>2024-Cruz Azul</v>
      </c>
      <c r="C122">
        <v>2024</v>
      </c>
      <c r="D122" t="s">
        <v>22</v>
      </c>
      <c r="E122" s="2">
        <v>1</v>
      </c>
      <c r="F122" s="2">
        <v>3</v>
      </c>
      <c r="G122" t="s">
        <v>10</v>
      </c>
      <c r="H122">
        <v>17.8</v>
      </c>
      <c r="I122">
        <v>1.78</v>
      </c>
      <c r="J122">
        <v>5.34</v>
      </c>
      <c r="K122">
        <v>5.34</v>
      </c>
      <c r="L122">
        <v>5.34</v>
      </c>
      <c r="M122" s="6">
        <v>0.35294117647058826</v>
      </c>
      <c r="N122" s="6">
        <v>0.11764705882352941</v>
      </c>
      <c r="O122" s="6">
        <v>0.52941176470588236</v>
      </c>
      <c r="P122" s="10">
        <v>64</v>
      </c>
      <c r="Q122">
        <v>78.849999999999994</v>
      </c>
      <c r="R122">
        <v>7.89</v>
      </c>
      <c r="S122">
        <v>23.66</v>
      </c>
      <c r="T122">
        <v>23.66</v>
      </c>
      <c r="U122">
        <v>23.66</v>
      </c>
      <c r="V122" s="6">
        <v>0.52380952380952384</v>
      </c>
      <c r="W122" s="6">
        <v>0.23809523809523808</v>
      </c>
      <c r="X122" s="6">
        <v>0.23809523809523808</v>
      </c>
      <c r="Y122" s="11">
        <f>VLOOKUP(G122,'[1]historico puntos 2022-2025'!$A$2:$G$19,7,0)</f>
        <v>107</v>
      </c>
      <c r="Z122" t="s">
        <v>40</v>
      </c>
      <c r="AA122">
        <f t="shared" si="5"/>
        <v>120</v>
      </c>
    </row>
    <row r="123" spans="1:27" hidden="1" x14ac:dyDescent="0.3">
      <c r="A123" t="str">
        <f t="shared" si="3"/>
        <v>2024-Cruz Azul</v>
      </c>
      <c r="B123" t="str">
        <f t="shared" si="4"/>
        <v>2024-Xolos</v>
      </c>
      <c r="C123">
        <v>2024</v>
      </c>
      <c r="D123" t="s">
        <v>10</v>
      </c>
      <c r="E123" s="2">
        <v>1</v>
      </c>
      <c r="F123" s="2">
        <v>0</v>
      </c>
      <c r="G123" t="s">
        <v>19</v>
      </c>
      <c r="H123">
        <v>78.849999999999994</v>
      </c>
      <c r="I123">
        <v>7.89</v>
      </c>
      <c r="J123">
        <v>23.66</v>
      </c>
      <c r="K123">
        <v>23.66</v>
      </c>
      <c r="L123">
        <v>23.66</v>
      </c>
      <c r="M123" s="6">
        <v>0.7142857142857143</v>
      </c>
      <c r="N123" s="6">
        <v>0.23809523809523808</v>
      </c>
      <c r="O123" s="6">
        <v>4.7619047619047616E-2</v>
      </c>
      <c r="P123" s="10">
        <v>107</v>
      </c>
      <c r="Q123">
        <v>39.15</v>
      </c>
      <c r="R123">
        <v>3.92</v>
      </c>
      <c r="S123">
        <v>11.75</v>
      </c>
      <c r="T123">
        <v>11.75</v>
      </c>
      <c r="U123">
        <v>11.75</v>
      </c>
      <c r="V123" s="6">
        <v>0.27777777777777779</v>
      </c>
      <c r="W123" s="6">
        <v>0.22222222222222221</v>
      </c>
      <c r="X123" s="6">
        <v>0.5</v>
      </c>
      <c r="Y123" s="11">
        <f>VLOOKUP(G123,'[1]historico puntos 2022-2025'!$A$2:$G$19,7,0)</f>
        <v>49</v>
      </c>
      <c r="Z123" t="s">
        <v>38</v>
      </c>
      <c r="AA123">
        <f t="shared" si="5"/>
        <v>121</v>
      </c>
    </row>
    <row r="124" spans="1:27" hidden="1" x14ac:dyDescent="0.3">
      <c r="A124" t="str">
        <f t="shared" si="3"/>
        <v>2024-Cruz Azul</v>
      </c>
      <c r="B124" t="str">
        <f t="shared" si="4"/>
        <v>2024-Mazatlán</v>
      </c>
      <c r="C124">
        <v>2024</v>
      </c>
      <c r="D124" t="s">
        <v>10</v>
      </c>
      <c r="E124" s="2">
        <v>2</v>
      </c>
      <c r="F124" s="2">
        <v>1</v>
      </c>
      <c r="G124" t="s">
        <v>20</v>
      </c>
      <c r="H124">
        <v>78.849999999999994</v>
      </c>
      <c r="I124">
        <v>7.89</v>
      </c>
      <c r="J124">
        <v>23.66</v>
      </c>
      <c r="K124">
        <v>23.66</v>
      </c>
      <c r="L124">
        <v>23.66</v>
      </c>
      <c r="M124" s="6">
        <v>0.7142857142857143</v>
      </c>
      <c r="N124" s="6">
        <v>0.23809523809523808</v>
      </c>
      <c r="O124" s="6">
        <v>4.7619047619047616E-2</v>
      </c>
      <c r="P124" s="10">
        <v>107</v>
      </c>
      <c r="Q124">
        <v>31.45</v>
      </c>
      <c r="R124">
        <v>3.15</v>
      </c>
      <c r="S124">
        <v>9.44</v>
      </c>
      <c r="T124">
        <v>9.44</v>
      </c>
      <c r="U124">
        <v>9.44</v>
      </c>
      <c r="V124" s="6">
        <v>5.8823529411764705E-2</v>
      </c>
      <c r="W124" s="6">
        <v>0.29411764705882354</v>
      </c>
      <c r="X124" s="6">
        <v>0.6470588235294118</v>
      </c>
      <c r="Y124" s="11">
        <f>VLOOKUP(G124,'[1]historico puntos 2022-2025'!$A$2:$G$19,7,0)</f>
        <v>40</v>
      </c>
      <c r="Z124" t="s">
        <v>38</v>
      </c>
      <c r="AA124">
        <f t="shared" si="5"/>
        <v>122</v>
      </c>
    </row>
    <row r="125" spans="1:27" hidden="1" x14ac:dyDescent="0.3">
      <c r="A125" t="str">
        <f t="shared" si="3"/>
        <v>2024-Juarez</v>
      </c>
      <c r="B125" t="str">
        <f t="shared" si="4"/>
        <v>2024-Cruz Azul</v>
      </c>
      <c r="C125">
        <v>2024</v>
      </c>
      <c r="D125" t="s">
        <v>18</v>
      </c>
      <c r="E125" s="2">
        <v>0</v>
      </c>
      <c r="F125" s="2">
        <v>0</v>
      </c>
      <c r="G125" t="s">
        <v>10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s="6">
        <v>0.27777777777777779</v>
      </c>
      <c r="N125" s="6">
        <v>0.33333333333333331</v>
      </c>
      <c r="O125" s="6">
        <v>0.3888888888888889</v>
      </c>
      <c r="P125" s="10">
        <v>55</v>
      </c>
      <c r="Q125">
        <v>78.849999999999994</v>
      </c>
      <c r="R125">
        <v>7.89</v>
      </c>
      <c r="S125">
        <v>23.66</v>
      </c>
      <c r="T125">
        <v>23.66</v>
      </c>
      <c r="U125">
        <v>23.66</v>
      </c>
      <c r="V125" s="6">
        <v>0.52380952380952384</v>
      </c>
      <c r="W125" s="6">
        <v>0.23809523809523808</v>
      </c>
      <c r="X125" s="6">
        <v>0.23809523809523808</v>
      </c>
      <c r="Y125" s="11">
        <f>VLOOKUP(G125,'[1]historico puntos 2022-2025'!$A$2:$G$19,7,0)</f>
        <v>107</v>
      </c>
      <c r="Z125" t="s">
        <v>39</v>
      </c>
      <c r="AA125">
        <f t="shared" si="5"/>
        <v>123</v>
      </c>
    </row>
    <row r="126" spans="1:27" hidden="1" x14ac:dyDescent="0.3">
      <c r="A126" t="str">
        <f t="shared" si="3"/>
        <v>2024-Cruz Azul</v>
      </c>
      <c r="B126" t="str">
        <f t="shared" si="4"/>
        <v>2024-Pachuca</v>
      </c>
      <c r="C126">
        <v>2024</v>
      </c>
      <c r="D126" t="s">
        <v>10</v>
      </c>
      <c r="E126" s="2">
        <v>0</v>
      </c>
      <c r="F126" s="2">
        <v>1</v>
      </c>
      <c r="G126" t="s">
        <v>0</v>
      </c>
      <c r="H126">
        <v>78.849999999999994</v>
      </c>
      <c r="I126">
        <v>7.89</v>
      </c>
      <c r="J126">
        <v>23.66</v>
      </c>
      <c r="K126">
        <v>23.66</v>
      </c>
      <c r="L126">
        <v>23.66</v>
      </c>
      <c r="M126" s="6">
        <v>0.7142857142857143</v>
      </c>
      <c r="N126" s="6">
        <v>0.23809523809523808</v>
      </c>
      <c r="O126" s="6">
        <v>4.7619047619047616E-2</v>
      </c>
      <c r="P126" s="10">
        <v>107</v>
      </c>
      <c r="Q126">
        <v>56.6</v>
      </c>
      <c r="R126">
        <v>5.66</v>
      </c>
      <c r="S126">
        <v>16.98</v>
      </c>
      <c r="T126">
        <v>16.98</v>
      </c>
      <c r="U126">
        <v>16.98</v>
      </c>
      <c r="V126" s="6">
        <v>0.26315789473684209</v>
      </c>
      <c r="W126" s="6">
        <v>0.15789473684210525</v>
      </c>
      <c r="X126" s="6">
        <v>0.57894736842105265</v>
      </c>
      <c r="Y126" s="11">
        <f>VLOOKUP(G126,'[1]historico puntos 2022-2025'!$A$2:$G$19,7,0)</f>
        <v>98</v>
      </c>
      <c r="Z126" t="s">
        <v>40</v>
      </c>
      <c r="AA126">
        <f t="shared" si="5"/>
        <v>124</v>
      </c>
    </row>
    <row r="127" spans="1:27" hidden="1" x14ac:dyDescent="0.3">
      <c r="A127" t="str">
        <f t="shared" si="3"/>
        <v>2023-Cruz Azul</v>
      </c>
      <c r="B127" t="str">
        <f t="shared" si="4"/>
        <v>2023-Puebla</v>
      </c>
      <c r="C127">
        <v>2023</v>
      </c>
      <c r="D127" t="s">
        <v>10</v>
      </c>
      <c r="E127" s="2">
        <v>1</v>
      </c>
      <c r="F127" s="2">
        <v>2</v>
      </c>
      <c r="G127" t="s">
        <v>1</v>
      </c>
      <c r="H127">
        <v>72.2</v>
      </c>
      <c r="I127">
        <v>7.22</v>
      </c>
      <c r="J127">
        <v>21.66</v>
      </c>
      <c r="K127">
        <v>21.66</v>
      </c>
      <c r="L127">
        <v>21.66</v>
      </c>
      <c r="M127" s="6">
        <v>0.7142857142857143</v>
      </c>
      <c r="N127" s="6">
        <v>0.23809523809523808</v>
      </c>
      <c r="O127" s="6">
        <v>4.7619047619047616E-2</v>
      </c>
      <c r="P127" s="10">
        <v>107</v>
      </c>
      <c r="Q127">
        <v>26.7</v>
      </c>
      <c r="R127">
        <v>2.67</v>
      </c>
      <c r="S127">
        <v>8.01</v>
      </c>
      <c r="T127">
        <v>8.01</v>
      </c>
      <c r="U127">
        <v>8.01</v>
      </c>
      <c r="V127" s="6">
        <v>0.11764705882352941</v>
      </c>
      <c r="W127" s="6">
        <v>0.17647058823529413</v>
      </c>
      <c r="X127" s="6">
        <v>0.70588235294117652</v>
      </c>
      <c r="Y127" s="11">
        <f>VLOOKUP(G127,'[1]historico puntos 2022-2025'!$A$2:$G$19,7,0)</f>
        <v>34</v>
      </c>
      <c r="Z127" t="s">
        <v>40</v>
      </c>
      <c r="AA127">
        <f t="shared" si="5"/>
        <v>125</v>
      </c>
    </row>
    <row r="128" spans="1:27" hidden="1" x14ac:dyDescent="0.3">
      <c r="A128" t="str">
        <f t="shared" si="3"/>
        <v>2023-Chivas</v>
      </c>
      <c r="B128" t="str">
        <f t="shared" si="4"/>
        <v>2023-Cruz Azul</v>
      </c>
      <c r="C128">
        <v>2023</v>
      </c>
      <c r="D128" t="s">
        <v>21</v>
      </c>
      <c r="E128" s="2">
        <v>1</v>
      </c>
      <c r="F128" s="2">
        <v>0</v>
      </c>
      <c r="G128" t="s">
        <v>10</v>
      </c>
      <c r="H128">
        <v>69.7</v>
      </c>
      <c r="I128">
        <v>6.97</v>
      </c>
      <c r="J128">
        <v>20.91</v>
      </c>
      <c r="K128">
        <v>20.91</v>
      </c>
      <c r="L128">
        <v>20.91</v>
      </c>
      <c r="M128" s="6">
        <v>0.44444444444444442</v>
      </c>
      <c r="N128" s="6">
        <v>0.33333333333333331</v>
      </c>
      <c r="O128" s="6">
        <v>0.22222222222222221</v>
      </c>
      <c r="P128" s="10">
        <v>99</v>
      </c>
      <c r="Q128">
        <v>72.2</v>
      </c>
      <c r="R128">
        <v>7.22</v>
      </c>
      <c r="S128">
        <v>21.66</v>
      </c>
      <c r="T128">
        <v>21.66</v>
      </c>
      <c r="U128">
        <v>21.66</v>
      </c>
      <c r="V128" s="6">
        <v>0.52380952380952384</v>
      </c>
      <c r="W128" s="6">
        <v>0.23809523809523808</v>
      </c>
      <c r="X128" s="6">
        <v>0.23809523809523808</v>
      </c>
      <c r="Y128" s="11">
        <f>VLOOKUP(G128,'[1]historico puntos 2022-2025'!$A$2:$G$19,7,0)</f>
        <v>107</v>
      </c>
      <c r="Z128" t="s">
        <v>38</v>
      </c>
      <c r="AA128">
        <f t="shared" si="5"/>
        <v>126</v>
      </c>
    </row>
    <row r="129" spans="1:27" hidden="1" x14ac:dyDescent="0.3">
      <c r="A129" t="str">
        <f t="shared" si="3"/>
        <v>2023-Cruz Azul</v>
      </c>
      <c r="B129" t="str">
        <f t="shared" si="4"/>
        <v>2023-Juarez</v>
      </c>
      <c r="C129">
        <v>2023</v>
      </c>
      <c r="D129" t="s">
        <v>10</v>
      </c>
      <c r="E129" s="2">
        <v>2</v>
      </c>
      <c r="F129" s="2">
        <v>0</v>
      </c>
      <c r="G129" t="s">
        <v>18</v>
      </c>
      <c r="H129">
        <v>72.2</v>
      </c>
      <c r="I129">
        <v>7.22</v>
      </c>
      <c r="J129">
        <v>21.66</v>
      </c>
      <c r="K129">
        <v>21.66</v>
      </c>
      <c r="L129">
        <v>21.66</v>
      </c>
      <c r="M129" s="6">
        <v>0.7142857142857143</v>
      </c>
      <c r="N129" s="6">
        <v>0.23809523809523808</v>
      </c>
      <c r="O129" s="6">
        <v>4.7619047619047616E-2</v>
      </c>
      <c r="P129" s="10">
        <v>107</v>
      </c>
      <c r="Q129" t="s">
        <v>37</v>
      </c>
      <c r="R129" t="s">
        <v>37</v>
      </c>
      <c r="S129" t="s">
        <v>37</v>
      </c>
      <c r="T129" t="s">
        <v>37</v>
      </c>
      <c r="U129" t="s">
        <v>37</v>
      </c>
      <c r="V129" s="6">
        <v>0.35294117647058826</v>
      </c>
      <c r="W129" s="6">
        <v>0.17647058823529413</v>
      </c>
      <c r="X129" s="6">
        <v>0.47058823529411764</v>
      </c>
      <c r="Y129" s="11">
        <f>VLOOKUP(G129,'[1]historico puntos 2022-2025'!$A$2:$G$19,7,0)</f>
        <v>55</v>
      </c>
      <c r="Z129" t="s">
        <v>38</v>
      </c>
      <c r="AA129">
        <f t="shared" si="5"/>
        <v>127</v>
      </c>
    </row>
    <row r="130" spans="1:27" hidden="1" x14ac:dyDescent="0.3">
      <c r="A130" t="str">
        <f t="shared" si="3"/>
        <v>2023-Cruz Azul</v>
      </c>
      <c r="B130" t="str">
        <f t="shared" si="4"/>
        <v>2023-León</v>
      </c>
      <c r="C130">
        <v>2023</v>
      </c>
      <c r="D130" t="s">
        <v>10</v>
      </c>
      <c r="E130" s="2">
        <v>1</v>
      </c>
      <c r="F130" s="2">
        <v>0</v>
      </c>
      <c r="G130" t="s">
        <v>36</v>
      </c>
      <c r="H130">
        <v>72.2</v>
      </c>
      <c r="I130">
        <v>7.22</v>
      </c>
      <c r="J130">
        <v>21.66</v>
      </c>
      <c r="K130">
        <v>21.66</v>
      </c>
      <c r="L130">
        <v>21.66</v>
      </c>
      <c r="M130" s="6">
        <v>0.7142857142857143</v>
      </c>
      <c r="N130" s="6">
        <v>0.23809523809523808</v>
      </c>
      <c r="O130" s="6">
        <v>4.7619047619047616E-2</v>
      </c>
      <c r="P130" s="10">
        <v>107</v>
      </c>
      <c r="Q130">
        <v>41.5</v>
      </c>
      <c r="R130">
        <v>4.1500000000000004</v>
      </c>
      <c r="S130">
        <v>12.45</v>
      </c>
      <c r="T130">
        <v>12.45</v>
      </c>
      <c r="U130">
        <v>12.45</v>
      </c>
      <c r="V130" s="6">
        <v>0.27777777777777779</v>
      </c>
      <c r="W130" s="6">
        <v>0.27777777777777779</v>
      </c>
      <c r="X130" s="6">
        <v>0.44444444444444442</v>
      </c>
      <c r="Y130" s="11">
        <f>VLOOKUP(G130,'[1]historico puntos 2022-2025'!$A$2:$G$19,7,0)</f>
        <v>87</v>
      </c>
      <c r="Z130" t="s">
        <v>38</v>
      </c>
      <c r="AA130">
        <f t="shared" si="5"/>
        <v>128</v>
      </c>
    </row>
    <row r="131" spans="1:27" x14ac:dyDescent="0.3">
      <c r="A131" t="str">
        <f t="shared" ref="A131:A194" si="6">C131&amp;"-"&amp;D131</f>
        <v>2023-Tigres</v>
      </c>
      <c r="B131" t="str">
        <f t="shared" ref="B131:B194" si="7">C131&amp;"-"&amp;G131</f>
        <v>2023-Cruz Azul</v>
      </c>
      <c r="C131">
        <v>2023</v>
      </c>
      <c r="D131" t="s">
        <v>17</v>
      </c>
      <c r="E131" s="2">
        <v>2</v>
      </c>
      <c r="F131" s="2">
        <v>1</v>
      </c>
      <c r="G131" t="s">
        <v>10</v>
      </c>
      <c r="H131">
        <v>67.599999999999994</v>
      </c>
      <c r="I131">
        <v>6.76</v>
      </c>
      <c r="J131">
        <v>20.28</v>
      </c>
      <c r="K131">
        <v>20.28</v>
      </c>
      <c r="L131">
        <v>20.28</v>
      </c>
      <c r="M131" s="6">
        <v>0.7</v>
      </c>
      <c r="N131" s="6">
        <v>0.25</v>
      </c>
      <c r="O131" s="6">
        <v>0.05</v>
      </c>
      <c r="P131" s="10">
        <v>107</v>
      </c>
      <c r="Q131">
        <v>72.2</v>
      </c>
      <c r="R131">
        <v>7.22</v>
      </c>
      <c r="S131">
        <v>21.66</v>
      </c>
      <c r="T131">
        <v>21.66</v>
      </c>
      <c r="U131">
        <v>21.66</v>
      </c>
      <c r="V131" s="6">
        <v>0.52380952380952384</v>
      </c>
      <c r="W131" s="6">
        <v>0.23809523809523808</v>
      </c>
      <c r="X131" s="6">
        <v>0.23809523809523808</v>
      </c>
      <c r="Y131" s="11">
        <f>VLOOKUP(G131,'[1]historico puntos 2022-2025'!$A$2:$G$19,7,0)</f>
        <v>107</v>
      </c>
      <c r="Z131" t="s">
        <v>38</v>
      </c>
      <c r="AA131">
        <f t="shared" si="5"/>
        <v>129</v>
      </c>
    </row>
    <row r="132" spans="1:27" hidden="1" x14ac:dyDescent="0.3">
      <c r="A132" t="str">
        <f t="shared" si="6"/>
        <v>2023-Cruz Azul</v>
      </c>
      <c r="B132" t="str">
        <f t="shared" si="7"/>
        <v>2023-Pumas</v>
      </c>
      <c r="C132">
        <v>2023</v>
      </c>
      <c r="D132" t="s">
        <v>10</v>
      </c>
      <c r="E132" s="2">
        <v>1</v>
      </c>
      <c r="F132" s="2">
        <v>4</v>
      </c>
      <c r="G132" t="s">
        <v>16</v>
      </c>
      <c r="H132">
        <v>72.2</v>
      </c>
      <c r="I132">
        <v>7.22</v>
      </c>
      <c r="J132">
        <v>21.66</v>
      </c>
      <c r="K132">
        <v>21.66</v>
      </c>
      <c r="L132">
        <v>21.66</v>
      </c>
      <c r="M132" s="6">
        <v>0.7142857142857143</v>
      </c>
      <c r="N132" s="6">
        <v>0.23809523809523808</v>
      </c>
      <c r="O132" s="6">
        <v>4.7619047619047616E-2</v>
      </c>
      <c r="P132" s="10">
        <v>107</v>
      </c>
      <c r="Q132" t="s">
        <v>37</v>
      </c>
      <c r="R132" t="s">
        <v>37</v>
      </c>
      <c r="S132" t="s">
        <v>37</v>
      </c>
      <c r="T132" t="s">
        <v>37</v>
      </c>
      <c r="U132" t="s">
        <v>37</v>
      </c>
      <c r="V132" s="6">
        <v>0.3</v>
      </c>
      <c r="W132" s="6">
        <v>0.25</v>
      </c>
      <c r="X132" s="6">
        <v>0.45</v>
      </c>
      <c r="Y132" s="11">
        <f>VLOOKUP(G132,'[1]historico puntos 2022-2025'!$A$2:$G$19,7,0)</f>
        <v>75</v>
      </c>
      <c r="Z132" t="s">
        <v>40</v>
      </c>
      <c r="AA132">
        <f t="shared" ref="AA132:AA195" si="8">AA131+1</f>
        <v>130</v>
      </c>
    </row>
    <row r="133" spans="1:27" hidden="1" x14ac:dyDescent="0.3">
      <c r="A133" t="str">
        <f t="shared" si="6"/>
        <v>2023-Necaxa</v>
      </c>
      <c r="B133" t="str">
        <f t="shared" si="7"/>
        <v>2023-Cruz Azul</v>
      </c>
      <c r="C133">
        <v>2023</v>
      </c>
      <c r="D133" t="s">
        <v>4</v>
      </c>
      <c r="E133" s="2">
        <v>1</v>
      </c>
      <c r="F133" s="2">
        <v>3</v>
      </c>
      <c r="G133" t="s">
        <v>10</v>
      </c>
      <c r="H133">
        <v>40</v>
      </c>
      <c r="I133">
        <v>4</v>
      </c>
      <c r="J133">
        <v>12</v>
      </c>
      <c r="K133">
        <v>12</v>
      </c>
      <c r="L133">
        <v>12</v>
      </c>
      <c r="M133" s="6">
        <v>0.44444444444444442</v>
      </c>
      <c r="N133" s="6">
        <v>0.22222222222222221</v>
      </c>
      <c r="O133" s="6">
        <v>0.33333333333333331</v>
      </c>
      <c r="P133" s="10">
        <v>77</v>
      </c>
      <c r="Q133">
        <v>72.2</v>
      </c>
      <c r="R133">
        <v>7.22</v>
      </c>
      <c r="S133">
        <v>21.66</v>
      </c>
      <c r="T133">
        <v>21.66</v>
      </c>
      <c r="U133">
        <v>21.66</v>
      </c>
      <c r="V133" s="6">
        <v>0.52380952380952384</v>
      </c>
      <c r="W133" s="6">
        <v>0.23809523809523808</v>
      </c>
      <c r="X133" s="6">
        <v>0.23809523809523808</v>
      </c>
      <c r="Y133" s="11">
        <f>VLOOKUP(G133,'[1]historico puntos 2022-2025'!$A$2:$G$19,7,0)</f>
        <v>107</v>
      </c>
      <c r="Z133" t="s">
        <v>40</v>
      </c>
      <c r="AA133">
        <f t="shared" si="8"/>
        <v>131</v>
      </c>
    </row>
    <row r="134" spans="1:27" hidden="1" x14ac:dyDescent="0.3">
      <c r="A134" t="str">
        <f t="shared" si="6"/>
        <v>2023-Atlético San Luis</v>
      </c>
      <c r="B134" t="str">
        <f t="shared" si="7"/>
        <v>2023-Cruz Azul</v>
      </c>
      <c r="C134">
        <v>2023</v>
      </c>
      <c r="D134" t="s">
        <v>15</v>
      </c>
      <c r="E134" s="2">
        <v>1</v>
      </c>
      <c r="F134" s="2">
        <v>2</v>
      </c>
      <c r="G134" t="s">
        <v>10</v>
      </c>
      <c r="H134">
        <v>35.85</v>
      </c>
      <c r="I134">
        <v>3.59</v>
      </c>
      <c r="J134">
        <v>10.77</v>
      </c>
      <c r="K134">
        <v>10.77</v>
      </c>
      <c r="L134">
        <v>10.77</v>
      </c>
      <c r="M134" s="6">
        <v>0.68421052631578949</v>
      </c>
      <c r="N134" s="6">
        <v>5.2631578947368418E-2</v>
      </c>
      <c r="O134" s="6">
        <v>0.26315789473684209</v>
      </c>
      <c r="P134" s="10">
        <v>59</v>
      </c>
      <c r="Q134">
        <v>72.2</v>
      </c>
      <c r="R134">
        <v>7.22</v>
      </c>
      <c r="S134">
        <v>21.66</v>
      </c>
      <c r="T134">
        <v>21.66</v>
      </c>
      <c r="U134">
        <v>21.66</v>
      </c>
      <c r="V134" s="6">
        <v>0.52380952380952384</v>
      </c>
      <c r="W134" s="6">
        <v>0.23809523809523808</v>
      </c>
      <c r="X134" s="6">
        <v>0.23809523809523808</v>
      </c>
      <c r="Y134" s="11">
        <f>VLOOKUP(G134,'[1]historico puntos 2022-2025'!$A$2:$G$19,7,0)</f>
        <v>107</v>
      </c>
      <c r="Z134" t="s">
        <v>40</v>
      </c>
      <c r="AA134">
        <f t="shared" si="8"/>
        <v>132</v>
      </c>
    </row>
    <row r="135" spans="1:27" hidden="1" x14ac:dyDescent="0.3">
      <c r="A135" t="str">
        <f t="shared" si="6"/>
        <v>2023-Cruz Azul</v>
      </c>
      <c r="B135" t="str">
        <f t="shared" si="7"/>
        <v>2023-Querétaro</v>
      </c>
      <c r="C135">
        <v>2023</v>
      </c>
      <c r="D135" t="s">
        <v>10</v>
      </c>
      <c r="E135" s="2">
        <v>1</v>
      </c>
      <c r="F135" s="2">
        <v>3</v>
      </c>
      <c r="G135" t="s">
        <v>22</v>
      </c>
      <c r="H135">
        <v>72.2</v>
      </c>
      <c r="I135">
        <v>7.22</v>
      </c>
      <c r="J135">
        <v>21.66</v>
      </c>
      <c r="K135">
        <v>21.66</v>
      </c>
      <c r="L135">
        <v>21.66</v>
      </c>
      <c r="M135" s="6">
        <v>0.7142857142857143</v>
      </c>
      <c r="N135" s="6">
        <v>0.23809523809523808</v>
      </c>
      <c r="O135" s="6">
        <v>4.7619047619047616E-2</v>
      </c>
      <c r="P135" s="10">
        <v>107</v>
      </c>
      <c r="Q135" t="s">
        <v>37</v>
      </c>
      <c r="R135" t="s">
        <v>37</v>
      </c>
      <c r="S135" t="s">
        <v>37</v>
      </c>
      <c r="T135" t="s">
        <v>37</v>
      </c>
      <c r="U135" t="s">
        <v>37</v>
      </c>
      <c r="V135" s="6">
        <v>0.17647058823529413</v>
      </c>
      <c r="W135" s="6">
        <v>0.17647058823529413</v>
      </c>
      <c r="X135" s="6">
        <v>0.6470588235294118</v>
      </c>
      <c r="Y135" s="11">
        <f>VLOOKUP(G135,'[1]historico puntos 2022-2025'!$A$2:$G$19,7,0)</f>
        <v>64</v>
      </c>
      <c r="Z135" t="s">
        <v>40</v>
      </c>
      <c r="AA135">
        <f t="shared" si="8"/>
        <v>133</v>
      </c>
    </row>
    <row r="136" spans="1:27" hidden="1" x14ac:dyDescent="0.3">
      <c r="A136" t="str">
        <f t="shared" si="6"/>
        <v>2023-Mazatlán</v>
      </c>
      <c r="B136" t="str">
        <f t="shared" si="7"/>
        <v>2023-Cruz Azul</v>
      </c>
      <c r="C136">
        <v>2023</v>
      </c>
      <c r="D136" t="s">
        <v>20</v>
      </c>
      <c r="E136" s="2">
        <v>2</v>
      </c>
      <c r="F136" s="2">
        <v>2</v>
      </c>
      <c r="G136" t="s">
        <v>10</v>
      </c>
      <c r="H136">
        <v>35.049999999999997</v>
      </c>
      <c r="I136">
        <v>3.5</v>
      </c>
      <c r="J136">
        <v>10.51</v>
      </c>
      <c r="K136">
        <v>10.51</v>
      </c>
      <c r="L136">
        <v>10.51</v>
      </c>
      <c r="M136" s="6">
        <v>0.29411764705882354</v>
      </c>
      <c r="N136" s="6">
        <v>0.47058823529411764</v>
      </c>
      <c r="O136" s="6">
        <v>0.23529411764705882</v>
      </c>
      <c r="P136" s="10">
        <v>40</v>
      </c>
      <c r="Q136">
        <v>72.2</v>
      </c>
      <c r="R136">
        <v>7.22</v>
      </c>
      <c r="S136">
        <v>21.66</v>
      </c>
      <c r="T136">
        <v>21.66</v>
      </c>
      <c r="U136">
        <v>21.66</v>
      </c>
      <c r="V136" s="6">
        <v>0.52380952380952384</v>
      </c>
      <c r="W136" s="6">
        <v>0.23809523809523808</v>
      </c>
      <c r="X136" s="6">
        <v>0.23809523809523808</v>
      </c>
      <c r="Y136" s="11">
        <f>VLOOKUP(G136,'[1]historico puntos 2022-2025'!$A$2:$G$19,7,0)</f>
        <v>107</v>
      </c>
      <c r="Z136" t="s">
        <v>39</v>
      </c>
      <c r="AA136">
        <f t="shared" si="8"/>
        <v>134</v>
      </c>
    </row>
    <row r="137" spans="1:27" hidden="1" x14ac:dyDescent="0.3">
      <c r="A137" t="str">
        <f t="shared" si="6"/>
        <v>2023-Monterrey</v>
      </c>
      <c r="B137" t="str">
        <f t="shared" si="7"/>
        <v>2023-Cruz Azul</v>
      </c>
      <c r="C137">
        <v>2023</v>
      </c>
      <c r="D137" t="s">
        <v>3</v>
      </c>
      <c r="E137" s="2">
        <v>1</v>
      </c>
      <c r="F137" s="2">
        <v>2</v>
      </c>
      <c r="G137" t="s">
        <v>10</v>
      </c>
      <c r="H137">
        <v>88.1</v>
      </c>
      <c r="I137">
        <v>8.81</v>
      </c>
      <c r="J137">
        <v>26.43</v>
      </c>
      <c r="K137">
        <v>26.43</v>
      </c>
      <c r="L137">
        <v>26.43</v>
      </c>
      <c r="M137" s="6">
        <v>0.60869565217391308</v>
      </c>
      <c r="N137" s="6">
        <v>0.17391304347826086</v>
      </c>
      <c r="O137" s="6">
        <v>0.21739130434782608</v>
      </c>
      <c r="P137" s="10">
        <v>118</v>
      </c>
      <c r="Q137">
        <v>72.2</v>
      </c>
      <c r="R137">
        <v>7.22</v>
      </c>
      <c r="S137">
        <v>21.66</v>
      </c>
      <c r="T137">
        <v>21.66</v>
      </c>
      <c r="U137">
        <v>21.66</v>
      </c>
      <c r="V137" s="6">
        <v>0.52380952380952384</v>
      </c>
      <c r="W137" s="6">
        <v>0.23809523809523808</v>
      </c>
      <c r="X137" s="6">
        <v>0.23809523809523808</v>
      </c>
      <c r="Y137" s="11">
        <f>VLOOKUP(G137,'[1]historico puntos 2022-2025'!$A$2:$G$19,7,0)</f>
        <v>107</v>
      </c>
      <c r="Z137" t="s">
        <v>40</v>
      </c>
      <c r="AA137">
        <f t="shared" si="8"/>
        <v>135</v>
      </c>
    </row>
    <row r="138" spans="1:27" hidden="1" x14ac:dyDescent="0.3">
      <c r="A138" t="str">
        <f t="shared" si="6"/>
        <v>2023-Pachuca</v>
      </c>
      <c r="B138" t="str">
        <f t="shared" si="7"/>
        <v>2023-Cruz Azul</v>
      </c>
      <c r="C138">
        <v>2023</v>
      </c>
      <c r="D138" t="s">
        <v>0</v>
      </c>
      <c r="E138" s="2">
        <v>1</v>
      </c>
      <c r="F138" s="2">
        <v>0</v>
      </c>
      <c r="G138" t="s">
        <v>10</v>
      </c>
      <c r="H138">
        <v>51.25</v>
      </c>
      <c r="I138">
        <v>5.13</v>
      </c>
      <c r="J138">
        <v>15.38</v>
      </c>
      <c r="K138">
        <v>15.38</v>
      </c>
      <c r="L138">
        <v>15.38</v>
      </c>
      <c r="M138" s="6">
        <v>0.3888888888888889</v>
      </c>
      <c r="N138" s="6">
        <v>0.33333333333333331</v>
      </c>
      <c r="O138" s="6">
        <v>0.27777777777777779</v>
      </c>
      <c r="P138" s="10">
        <v>98</v>
      </c>
      <c r="Q138">
        <v>72.2</v>
      </c>
      <c r="R138">
        <v>7.22</v>
      </c>
      <c r="S138">
        <v>21.66</v>
      </c>
      <c r="T138">
        <v>21.66</v>
      </c>
      <c r="U138">
        <v>21.66</v>
      </c>
      <c r="V138" s="6">
        <v>0.52380952380952384</v>
      </c>
      <c r="W138" s="6">
        <v>0.23809523809523808</v>
      </c>
      <c r="X138" s="6">
        <v>0.23809523809523808</v>
      </c>
      <c r="Y138" s="11">
        <f>VLOOKUP(G138,'[1]historico puntos 2022-2025'!$A$2:$G$19,7,0)</f>
        <v>107</v>
      </c>
      <c r="Z138" t="s">
        <v>38</v>
      </c>
      <c r="AA138">
        <f t="shared" si="8"/>
        <v>136</v>
      </c>
    </row>
    <row r="139" spans="1:27" hidden="1" x14ac:dyDescent="0.3">
      <c r="A139" t="str">
        <f t="shared" si="6"/>
        <v>2023-Cruz Azul</v>
      </c>
      <c r="B139" t="str">
        <f t="shared" si="7"/>
        <v>2023-Santos Laguna</v>
      </c>
      <c r="C139">
        <v>2023</v>
      </c>
      <c r="D139" t="s">
        <v>10</v>
      </c>
      <c r="E139" s="2">
        <v>2</v>
      </c>
      <c r="F139" s="2">
        <v>2</v>
      </c>
      <c r="G139" t="s">
        <v>11</v>
      </c>
      <c r="H139">
        <v>72.2</v>
      </c>
      <c r="I139">
        <v>7.22</v>
      </c>
      <c r="J139">
        <v>21.66</v>
      </c>
      <c r="K139">
        <v>21.66</v>
      </c>
      <c r="L139">
        <v>21.66</v>
      </c>
      <c r="M139" s="6">
        <v>0.7142857142857143</v>
      </c>
      <c r="N139" s="6">
        <v>0.23809523809523808</v>
      </c>
      <c r="O139" s="6">
        <v>4.7619047619047616E-2</v>
      </c>
      <c r="P139" s="10">
        <v>107</v>
      </c>
      <c r="Q139" t="s">
        <v>37</v>
      </c>
      <c r="R139" t="s">
        <v>37</v>
      </c>
      <c r="S139" t="s">
        <v>37</v>
      </c>
      <c r="T139" t="s">
        <v>37</v>
      </c>
      <c r="U139" t="s">
        <v>37</v>
      </c>
      <c r="V139" s="6">
        <v>0</v>
      </c>
      <c r="W139" s="6">
        <v>0.11764705882352941</v>
      </c>
      <c r="X139" s="6">
        <v>0.88235294117647056</v>
      </c>
      <c r="Y139" s="11">
        <f>VLOOKUP(G139,'[1]historico puntos 2022-2025'!$A$2:$G$19,7,0)</f>
        <v>46</v>
      </c>
      <c r="Z139" t="s">
        <v>39</v>
      </c>
      <c r="AA139">
        <f t="shared" si="8"/>
        <v>137</v>
      </c>
    </row>
    <row r="140" spans="1:27" hidden="1" x14ac:dyDescent="0.3">
      <c r="A140" t="str">
        <f t="shared" si="6"/>
        <v>2023-Xolos</v>
      </c>
      <c r="B140" t="str">
        <f t="shared" si="7"/>
        <v>2023-Cruz Azul</v>
      </c>
      <c r="C140">
        <v>2023</v>
      </c>
      <c r="D140" t="s">
        <v>19</v>
      </c>
      <c r="E140" s="2">
        <v>2</v>
      </c>
      <c r="F140" s="2">
        <v>1</v>
      </c>
      <c r="G140" t="s">
        <v>10</v>
      </c>
      <c r="H140">
        <v>38.299999999999997</v>
      </c>
      <c r="I140">
        <v>3.83</v>
      </c>
      <c r="J140">
        <v>11.49</v>
      </c>
      <c r="K140">
        <v>11.49</v>
      </c>
      <c r="L140">
        <v>11.49</v>
      </c>
      <c r="M140" s="6">
        <v>0.55000000000000004</v>
      </c>
      <c r="N140" s="6">
        <v>0.15</v>
      </c>
      <c r="O140" s="6">
        <v>0.3</v>
      </c>
      <c r="P140" s="10">
        <v>49</v>
      </c>
      <c r="Q140">
        <v>72.2</v>
      </c>
      <c r="R140">
        <v>7.22</v>
      </c>
      <c r="S140">
        <v>21.66</v>
      </c>
      <c r="T140">
        <v>21.66</v>
      </c>
      <c r="U140">
        <v>21.66</v>
      </c>
      <c r="V140" s="6">
        <v>0.52380952380952384</v>
      </c>
      <c r="W140" s="6">
        <v>0.23809523809523808</v>
      </c>
      <c r="X140" s="6">
        <v>0.23809523809523808</v>
      </c>
      <c r="Y140" s="11">
        <f>VLOOKUP(G140,'[1]historico puntos 2022-2025'!$A$2:$G$19,7,0)</f>
        <v>107</v>
      </c>
      <c r="Z140" t="s">
        <v>38</v>
      </c>
      <c r="AA140">
        <f t="shared" si="8"/>
        <v>138</v>
      </c>
    </row>
    <row r="141" spans="1:27" hidden="1" x14ac:dyDescent="0.3">
      <c r="A141" t="str">
        <f t="shared" si="6"/>
        <v>2024-América</v>
      </c>
      <c r="B141" t="str">
        <f t="shared" si="7"/>
        <v>2024-Chivas</v>
      </c>
      <c r="C141">
        <v>2024</v>
      </c>
      <c r="D141" t="s">
        <v>14</v>
      </c>
      <c r="E141" s="2">
        <v>1</v>
      </c>
      <c r="F141" s="2">
        <v>0</v>
      </c>
      <c r="G141" t="s">
        <v>21</v>
      </c>
      <c r="H141">
        <v>92.45</v>
      </c>
      <c r="I141">
        <v>9.25</v>
      </c>
      <c r="J141">
        <v>27.73</v>
      </c>
      <c r="K141">
        <v>27.73</v>
      </c>
      <c r="L141">
        <v>27.73</v>
      </c>
      <c r="M141" s="6">
        <v>0.65217391304347827</v>
      </c>
      <c r="N141" s="6">
        <v>0.21739130434782608</v>
      </c>
      <c r="O141" s="6">
        <v>0.13043478260869565</v>
      </c>
      <c r="P141" s="10">
        <v>133</v>
      </c>
      <c r="Q141" t="s">
        <v>37</v>
      </c>
      <c r="R141" t="s">
        <v>37</v>
      </c>
      <c r="S141" t="s">
        <v>37</v>
      </c>
      <c r="T141" t="s">
        <v>37</v>
      </c>
      <c r="U141" t="s">
        <v>37</v>
      </c>
      <c r="V141" s="6">
        <v>0.23529411764705882</v>
      </c>
      <c r="W141" s="6">
        <v>0.23529411764705882</v>
      </c>
      <c r="X141" s="6">
        <v>0.52941176470588236</v>
      </c>
      <c r="Y141" s="11">
        <f>VLOOKUP(G141,'[1]historico puntos 2022-2025'!$A$2:$G$19,7,0)</f>
        <v>99</v>
      </c>
      <c r="Z141" t="s">
        <v>38</v>
      </c>
      <c r="AA141">
        <f t="shared" si="8"/>
        <v>139</v>
      </c>
    </row>
    <row r="142" spans="1:27" hidden="1" x14ac:dyDescent="0.3">
      <c r="A142" t="str">
        <f t="shared" si="6"/>
        <v>2024-Chivas</v>
      </c>
      <c r="B142" t="str">
        <f t="shared" si="7"/>
        <v>2024-América</v>
      </c>
      <c r="C142">
        <v>2024</v>
      </c>
      <c r="D142" t="s">
        <v>21</v>
      </c>
      <c r="E142" s="2">
        <v>0</v>
      </c>
      <c r="F142" s="2">
        <v>0</v>
      </c>
      <c r="G142" t="s">
        <v>14</v>
      </c>
      <c r="H142">
        <v>70.2</v>
      </c>
      <c r="I142">
        <v>7.02</v>
      </c>
      <c r="J142">
        <v>21.06</v>
      </c>
      <c r="K142">
        <v>21.06</v>
      </c>
      <c r="L142">
        <v>21.06</v>
      </c>
      <c r="M142" s="6">
        <v>0.44444444444444442</v>
      </c>
      <c r="N142" s="6">
        <v>0.33333333333333331</v>
      </c>
      <c r="O142" s="6">
        <v>0.22222222222222221</v>
      </c>
      <c r="P142" s="10">
        <v>99</v>
      </c>
      <c r="Q142">
        <v>92.45</v>
      </c>
      <c r="R142">
        <v>9.25</v>
      </c>
      <c r="S142">
        <v>27.73</v>
      </c>
      <c r="T142">
        <v>27.73</v>
      </c>
      <c r="U142">
        <v>27.73</v>
      </c>
      <c r="V142" s="6">
        <v>0.375</v>
      </c>
      <c r="W142" s="6">
        <v>0.29166666666666669</v>
      </c>
      <c r="X142" s="6">
        <v>0.33333333333333331</v>
      </c>
      <c r="Y142" s="11">
        <f>VLOOKUP(G142,'[1]historico puntos 2022-2025'!$A$2:$G$19,7,0)</f>
        <v>133</v>
      </c>
      <c r="Z142" t="s">
        <v>39</v>
      </c>
      <c r="AA142">
        <f t="shared" si="8"/>
        <v>140</v>
      </c>
    </row>
    <row r="143" spans="1:27" hidden="1" x14ac:dyDescent="0.3">
      <c r="A143" t="str">
        <f t="shared" si="6"/>
        <v>2024-Chivas</v>
      </c>
      <c r="B143" t="str">
        <f t="shared" si="7"/>
        <v>2024-Toluca</v>
      </c>
      <c r="C143">
        <v>2024</v>
      </c>
      <c r="D143" t="s">
        <v>21</v>
      </c>
      <c r="E143" s="2">
        <v>1</v>
      </c>
      <c r="F143" s="2">
        <v>0</v>
      </c>
      <c r="G143" t="s">
        <v>2</v>
      </c>
      <c r="H143">
        <v>70.2</v>
      </c>
      <c r="I143">
        <v>7.02</v>
      </c>
      <c r="J143">
        <v>21.06</v>
      </c>
      <c r="K143">
        <v>21.06</v>
      </c>
      <c r="L143">
        <v>21.06</v>
      </c>
      <c r="M143" s="6">
        <v>0.44444444444444442</v>
      </c>
      <c r="N143" s="6">
        <v>0.33333333333333331</v>
      </c>
      <c r="O143" s="6">
        <v>0.22222222222222221</v>
      </c>
      <c r="P143" s="10">
        <v>99</v>
      </c>
      <c r="Q143">
        <v>77.45</v>
      </c>
      <c r="R143">
        <v>7.75</v>
      </c>
      <c r="S143">
        <v>23.24</v>
      </c>
      <c r="T143">
        <v>23.24</v>
      </c>
      <c r="U143">
        <v>23.24</v>
      </c>
      <c r="V143" s="6">
        <v>0.38095238095238093</v>
      </c>
      <c r="W143" s="6">
        <v>0.33333333333333331</v>
      </c>
      <c r="X143" s="6">
        <v>0.2857142857142857</v>
      </c>
      <c r="Y143" s="11">
        <f>VLOOKUP(G143,'[1]historico puntos 2022-2025'!$A$2:$G$19,7,0)</f>
        <v>118</v>
      </c>
      <c r="Z143" t="s">
        <v>38</v>
      </c>
      <c r="AA143">
        <f t="shared" si="8"/>
        <v>141</v>
      </c>
    </row>
    <row r="144" spans="1:27" hidden="1" x14ac:dyDescent="0.3">
      <c r="A144" t="str">
        <f t="shared" si="6"/>
        <v>2024-Atlas</v>
      </c>
      <c r="B144" t="str">
        <f t="shared" si="7"/>
        <v>2024-Chivas</v>
      </c>
      <c r="C144">
        <v>2024</v>
      </c>
      <c r="D144" t="s">
        <v>5</v>
      </c>
      <c r="E144" s="2">
        <v>0</v>
      </c>
      <c r="F144" s="2">
        <v>1</v>
      </c>
      <c r="G144" t="s">
        <v>21</v>
      </c>
      <c r="H144">
        <v>28.95</v>
      </c>
      <c r="I144">
        <v>2.9</v>
      </c>
      <c r="J144">
        <v>8.68</v>
      </c>
      <c r="K144">
        <v>8.68</v>
      </c>
      <c r="L144">
        <v>8.68</v>
      </c>
      <c r="M144" s="6" t="s">
        <v>37</v>
      </c>
      <c r="N144" s="6" t="s">
        <v>37</v>
      </c>
      <c r="O144" s="6" t="s">
        <v>37</v>
      </c>
      <c r="P144" s="10">
        <v>60</v>
      </c>
      <c r="Q144" t="s">
        <v>37</v>
      </c>
      <c r="R144" t="s">
        <v>37</v>
      </c>
      <c r="S144" t="s">
        <v>37</v>
      </c>
      <c r="T144" t="s">
        <v>37</v>
      </c>
      <c r="U144" t="s">
        <v>37</v>
      </c>
      <c r="V144" s="6">
        <v>0.23529411764705882</v>
      </c>
      <c r="W144" s="6">
        <v>0.23529411764705882</v>
      </c>
      <c r="X144" s="6">
        <v>0.52941176470588236</v>
      </c>
      <c r="Y144" s="11">
        <f>VLOOKUP(G144,'[1]historico puntos 2022-2025'!$A$2:$G$19,7,0)</f>
        <v>99</v>
      </c>
      <c r="Z144" t="s">
        <v>40</v>
      </c>
      <c r="AA144">
        <f t="shared" si="8"/>
        <v>142</v>
      </c>
    </row>
    <row r="145" spans="1:27" hidden="1" x14ac:dyDescent="0.3">
      <c r="A145" t="str">
        <f t="shared" si="6"/>
        <v>2024-Chivas</v>
      </c>
      <c r="B145" t="str">
        <f t="shared" si="7"/>
        <v>2024-Querétaro</v>
      </c>
      <c r="C145">
        <v>2024</v>
      </c>
      <c r="D145" t="s">
        <v>21</v>
      </c>
      <c r="E145" s="2">
        <v>2</v>
      </c>
      <c r="F145" s="2">
        <v>0</v>
      </c>
      <c r="G145" t="s">
        <v>22</v>
      </c>
      <c r="H145">
        <v>70.2</v>
      </c>
      <c r="I145">
        <v>7.02</v>
      </c>
      <c r="J145">
        <v>21.06</v>
      </c>
      <c r="K145">
        <v>21.06</v>
      </c>
      <c r="L145">
        <v>21.06</v>
      </c>
      <c r="M145" s="6">
        <v>0.44444444444444442</v>
      </c>
      <c r="N145" s="6">
        <v>0.33333333333333331</v>
      </c>
      <c r="O145" s="6">
        <v>0.22222222222222221</v>
      </c>
      <c r="P145" s="10">
        <v>99</v>
      </c>
      <c r="Q145" t="s">
        <v>37</v>
      </c>
      <c r="R145" t="s">
        <v>37</v>
      </c>
      <c r="S145" t="s">
        <v>37</v>
      </c>
      <c r="T145" t="s">
        <v>37</v>
      </c>
      <c r="U145" t="s">
        <v>37</v>
      </c>
      <c r="V145" s="6">
        <v>0.17647058823529413</v>
      </c>
      <c r="W145" s="6">
        <v>0.17647058823529413</v>
      </c>
      <c r="X145" s="6">
        <v>0.6470588235294118</v>
      </c>
      <c r="Y145" s="11">
        <f>VLOOKUP(G145,'[1]historico puntos 2022-2025'!$A$2:$G$19,7,0)</f>
        <v>64</v>
      </c>
      <c r="Z145" t="s">
        <v>38</v>
      </c>
      <c r="AA145">
        <f t="shared" si="8"/>
        <v>143</v>
      </c>
    </row>
    <row r="146" spans="1:27" hidden="1" x14ac:dyDescent="0.3">
      <c r="A146" t="str">
        <f t="shared" si="6"/>
        <v>2024-Pachuca</v>
      </c>
      <c r="B146" t="str">
        <f t="shared" si="7"/>
        <v>2024-Chivas</v>
      </c>
      <c r="C146">
        <v>2024</v>
      </c>
      <c r="D146" t="s">
        <v>0</v>
      </c>
      <c r="E146" s="2">
        <v>0</v>
      </c>
      <c r="F146" s="2">
        <v>1</v>
      </c>
      <c r="G146" t="s">
        <v>21</v>
      </c>
      <c r="H146">
        <v>56.6</v>
      </c>
      <c r="I146">
        <v>5.66</v>
      </c>
      <c r="J146">
        <v>16.98</v>
      </c>
      <c r="K146">
        <v>16.98</v>
      </c>
      <c r="L146">
        <v>16.98</v>
      </c>
      <c r="M146" s="6">
        <v>0.3888888888888889</v>
      </c>
      <c r="N146" s="6">
        <v>0.33333333333333331</v>
      </c>
      <c r="O146" s="6">
        <v>0.27777777777777779</v>
      </c>
      <c r="P146" s="10">
        <v>98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s="6">
        <v>0.23529411764705882</v>
      </c>
      <c r="W146" s="6">
        <v>0.23529411764705882</v>
      </c>
      <c r="X146" s="6">
        <v>0.52941176470588236</v>
      </c>
      <c r="Y146" s="11">
        <f>VLOOKUP(G146,'[1]historico puntos 2022-2025'!$A$2:$G$19,7,0)</f>
        <v>99</v>
      </c>
      <c r="Z146" t="s">
        <v>40</v>
      </c>
      <c r="AA146">
        <f t="shared" si="8"/>
        <v>144</v>
      </c>
    </row>
    <row r="147" spans="1:27" hidden="1" x14ac:dyDescent="0.3">
      <c r="A147" t="str">
        <f t="shared" si="6"/>
        <v>2024-Chivas</v>
      </c>
      <c r="B147" t="str">
        <f t="shared" si="7"/>
        <v>2024-Puebla</v>
      </c>
      <c r="C147">
        <v>2024</v>
      </c>
      <c r="D147" t="s">
        <v>21</v>
      </c>
      <c r="E147" s="2">
        <v>3</v>
      </c>
      <c r="F147" s="2">
        <v>2</v>
      </c>
      <c r="G147" t="s">
        <v>1</v>
      </c>
      <c r="H147">
        <v>70.2</v>
      </c>
      <c r="I147">
        <v>7.02</v>
      </c>
      <c r="J147">
        <v>21.06</v>
      </c>
      <c r="K147">
        <v>21.06</v>
      </c>
      <c r="L147">
        <v>21.06</v>
      </c>
      <c r="M147" s="6">
        <v>0.44444444444444442</v>
      </c>
      <c r="N147" s="6">
        <v>0.33333333333333331</v>
      </c>
      <c r="O147" s="6">
        <v>0.22222222222222221</v>
      </c>
      <c r="P147" s="10">
        <v>99</v>
      </c>
      <c r="Q147">
        <v>24.1</v>
      </c>
      <c r="R147">
        <v>2.41</v>
      </c>
      <c r="S147">
        <v>7.23</v>
      </c>
      <c r="T147">
        <v>7.23</v>
      </c>
      <c r="U147">
        <v>7.23</v>
      </c>
      <c r="V147" s="6">
        <v>0.11764705882352941</v>
      </c>
      <c r="W147" s="6">
        <v>0.17647058823529413</v>
      </c>
      <c r="X147" s="6">
        <v>0.70588235294117652</v>
      </c>
      <c r="Y147" s="11">
        <f>VLOOKUP(G147,'[1]historico puntos 2022-2025'!$A$2:$G$19,7,0)</f>
        <v>34</v>
      </c>
      <c r="Z147" t="s">
        <v>38</v>
      </c>
      <c r="AA147">
        <f t="shared" si="8"/>
        <v>145</v>
      </c>
    </row>
    <row r="148" spans="1:27" hidden="1" x14ac:dyDescent="0.3">
      <c r="A148" t="str">
        <f t="shared" si="6"/>
        <v>2024-Chivas</v>
      </c>
      <c r="B148" t="str">
        <f t="shared" si="7"/>
        <v>2024-América</v>
      </c>
      <c r="C148">
        <v>2024</v>
      </c>
      <c r="D148" t="s">
        <v>21</v>
      </c>
      <c r="E148" s="2">
        <v>0</v>
      </c>
      <c r="F148" s="2">
        <v>0</v>
      </c>
      <c r="G148" t="s">
        <v>14</v>
      </c>
      <c r="H148">
        <v>70.2</v>
      </c>
      <c r="I148">
        <v>7.02</v>
      </c>
      <c r="J148">
        <v>21.06</v>
      </c>
      <c r="K148">
        <v>21.06</v>
      </c>
      <c r="L148">
        <v>21.06</v>
      </c>
      <c r="M148" s="6">
        <v>0.44444444444444442</v>
      </c>
      <c r="N148" s="6">
        <v>0.33333333333333331</v>
      </c>
      <c r="O148" s="6">
        <v>0.22222222222222221</v>
      </c>
      <c r="P148" s="10">
        <v>99</v>
      </c>
      <c r="Q148">
        <v>92.45</v>
      </c>
      <c r="R148">
        <v>9.25</v>
      </c>
      <c r="S148">
        <v>27.73</v>
      </c>
      <c r="T148">
        <v>27.73</v>
      </c>
      <c r="U148">
        <v>27.73</v>
      </c>
      <c r="V148" s="6">
        <v>0.375</v>
      </c>
      <c r="W148" s="6">
        <v>0.29166666666666669</v>
      </c>
      <c r="X148" s="6">
        <v>0.33333333333333331</v>
      </c>
      <c r="Y148" s="11">
        <f>VLOOKUP(G148,'[1]historico puntos 2022-2025'!$A$2:$G$19,7,0)</f>
        <v>133</v>
      </c>
      <c r="Z148" t="s">
        <v>39</v>
      </c>
      <c r="AA148">
        <f t="shared" si="8"/>
        <v>146</v>
      </c>
    </row>
    <row r="149" spans="1:27" hidden="1" x14ac:dyDescent="0.3">
      <c r="A149" t="str">
        <f t="shared" si="6"/>
        <v>2024-Chivas</v>
      </c>
      <c r="B149" t="str">
        <f t="shared" si="7"/>
        <v>2024-León</v>
      </c>
      <c r="C149">
        <v>2024</v>
      </c>
      <c r="D149" t="s">
        <v>21</v>
      </c>
      <c r="E149" s="2">
        <v>1</v>
      </c>
      <c r="F149" s="2">
        <v>2</v>
      </c>
      <c r="G149" t="s">
        <v>36</v>
      </c>
      <c r="H149">
        <v>70.2</v>
      </c>
      <c r="I149">
        <v>7.02</v>
      </c>
      <c r="J149">
        <v>21.06</v>
      </c>
      <c r="K149">
        <v>21.06</v>
      </c>
      <c r="L149">
        <v>21.06</v>
      </c>
      <c r="M149" s="6">
        <v>0.44444444444444442</v>
      </c>
      <c r="N149" s="6">
        <v>0.33333333333333331</v>
      </c>
      <c r="O149" s="6">
        <v>0.22222222222222221</v>
      </c>
      <c r="P149" s="10">
        <v>99</v>
      </c>
      <c r="Q149">
        <v>29.55</v>
      </c>
      <c r="R149">
        <v>2.96</v>
      </c>
      <c r="S149">
        <v>8.8699999999999992</v>
      </c>
      <c r="T149">
        <v>8.8699999999999992</v>
      </c>
      <c r="U149">
        <v>8.8699999999999992</v>
      </c>
      <c r="V149" s="6">
        <v>0.27777777777777779</v>
      </c>
      <c r="W149" s="6">
        <v>0.27777777777777779</v>
      </c>
      <c r="X149" s="6">
        <v>0.44444444444444442</v>
      </c>
      <c r="Y149" s="11">
        <f>VLOOKUP(G149,'[1]historico puntos 2022-2025'!$A$2:$G$19,7,0)</f>
        <v>87</v>
      </c>
      <c r="Z149" t="s">
        <v>40</v>
      </c>
      <c r="AA149">
        <f t="shared" si="8"/>
        <v>147</v>
      </c>
    </row>
    <row r="150" spans="1:27" hidden="1" x14ac:dyDescent="0.3">
      <c r="A150" t="str">
        <f t="shared" si="6"/>
        <v>2024-Cruz Azul</v>
      </c>
      <c r="B150" t="str">
        <f t="shared" si="7"/>
        <v>2024-Chivas</v>
      </c>
      <c r="C150">
        <v>2024</v>
      </c>
      <c r="D150" t="s">
        <v>10</v>
      </c>
      <c r="E150" s="2">
        <v>3</v>
      </c>
      <c r="F150" s="2">
        <v>0</v>
      </c>
      <c r="G150" t="s">
        <v>21</v>
      </c>
      <c r="H150">
        <v>78.849999999999994</v>
      </c>
      <c r="I150">
        <v>7.89</v>
      </c>
      <c r="J150">
        <v>23.66</v>
      </c>
      <c r="K150">
        <v>23.66</v>
      </c>
      <c r="L150">
        <v>23.66</v>
      </c>
      <c r="M150" s="6">
        <v>0.7142857142857143</v>
      </c>
      <c r="N150" s="6">
        <v>0.23809523809523808</v>
      </c>
      <c r="O150" s="6">
        <v>4.7619047619047616E-2</v>
      </c>
      <c r="P150" s="10">
        <v>107</v>
      </c>
      <c r="Q150" t="s">
        <v>37</v>
      </c>
      <c r="R150" t="s">
        <v>37</v>
      </c>
      <c r="S150" t="s">
        <v>37</v>
      </c>
      <c r="T150" t="s">
        <v>37</v>
      </c>
      <c r="U150" t="s">
        <v>37</v>
      </c>
      <c r="V150" s="6">
        <v>0.23529411764705882</v>
      </c>
      <c r="W150" s="6">
        <v>0.23529411764705882</v>
      </c>
      <c r="X150" s="6">
        <v>0.52941176470588236</v>
      </c>
      <c r="Y150" s="11">
        <f>VLOOKUP(G150,'[1]historico puntos 2022-2025'!$A$2:$G$19,7,0)</f>
        <v>99</v>
      </c>
      <c r="Z150" t="s">
        <v>38</v>
      </c>
      <c r="AA150">
        <f t="shared" si="8"/>
        <v>148</v>
      </c>
    </row>
    <row r="151" spans="1:27" hidden="1" x14ac:dyDescent="0.3">
      <c r="A151" t="str">
        <f t="shared" si="6"/>
        <v>2024-Chivas</v>
      </c>
      <c r="B151" t="str">
        <f t="shared" si="7"/>
        <v>2024-Pumas</v>
      </c>
      <c r="C151">
        <v>2024</v>
      </c>
      <c r="D151" t="s">
        <v>21</v>
      </c>
      <c r="E151" s="2">
        <v>3</v>
      </c>
      <c r="F151" s="2">
        <v>1</v>
      </c>
      <c r="G151" t="s">
        <v>16</v>
      </c>
      <c r="H151">
        <v>70.2</v>
      </c>
      <c r="I151">
        <v>7.02</v>
      </c>
      <c r="J151">
        <v>21.06</v>
      </c>
      <c r="K151">
        <v>21.06</v>
      </c>
      <c r="L151">
        <v>21.06</v>
      </c>
      <c r="M151" s="6">
        <v>0.44444444444444442</v>
      </c>
      <c r="N151" s="6">
        <v>0.33333333333333331</v>
      </c>
      <c r="O151" s="6">
        <v>0.22222222222222221</v>
      </c>
      <c r="P151" s="10">
        <v>99</v>
      </c>
      <c r="Q151">
        <v>47.6</v>
      </c>
      <c r="R151">
        <v>4.76</v>
      </c>
      <c r="S151">
        <v>14.28</v>
      </c>
      <c r="T151">
        <v>14.28</v>
      </c>
      <c r="U151">
        <v>14.28</v>
      </c>
      <c r="V151" s="6">
        <v>0.3</v>
      </c>
      <c r="W151" s="6">
        <v>0.25</v>
      </c>
      <c r="X151" s="6">
        <v>0.45</v>
      </c>
      <c r="Y151" s="11">
        <f>VLOOKUP(G151,'[1]historico puntos 2022-2025'!$A$2:$G$19,7,0)</f>
        <v>75</v>
      </c>
      <c r="Z151" t="s">
        <v>38</v>
      </c>
      <c r="AA151">
        <f t="shared" si="8"/>
        <v>149</v>
      </c>
    </row>
    <row r="152" spans="1:27" hidden="1" x14ac:dyDescent="0.3">
      <c r="A152" t="str">
        <f t="shared" si="6"/>
        <v>2024-Necaxa</v>
      </c>
      <c r="B152" t="str">
        <f t="shared" si="7"/>
        <v>2024-Chivas</v>
      </c>
      <c r="C152">
        <v>2024</v>
      </c>
      <c r="D152" t="s">
        <v>4</v>
      </c>
      <c r="E152" s="2">
        <v>1</v>
      </c>
      <c r="F152" s="2">
        <v>0</v>
      </c>
      <c r="G152" t="s">
        <v>21</v>
      </c>
      <c r="H152">
        <v>38.5</v>
      </c>
      <c r="I152">
        <v>3.85</v>
      </c>
      <c r="J152">
        <v>11.55</v>
      </c>
      <c r="K152">
        <v>11.55</v>
      </c>
      <c r="L152">
        <v>11.55</v>
      </c>
      <c r="M152" s="6">
        <v>0.44444444444444442</v>
      </c>
      <c r="N152" s="6">
        <v>0.22222222222222221</v>
      </c>
      <c r="O152" s="6">
        <v>0.33333333333333331</v>
      </c>
      <c r="P152" s="10">
        <v>77</v>
      </c>
      <c r="Q152" t="s">
        <v>37</v>
      </c>
      <c r="R152" t="s">
        <v>37</v>
      </c>
      <c r="S152" t="s">
        <v>37</v>
      </c>
      <c r="T152" t="s">
        <v>37</v>
      </c>
      <c r="U152" t="s">
        <v>37</v>
      </c>
      <c r="V152" s="6">
        <v>0.23529411764705882</v>
      </c>
      <c r="W152" s="6">
        <v>0.23529411764705882</v>
      </c>
      <c r="X152" s="6">
        <v>0.52941176470588236</v>
      </c>
      <c r="Y152" s="11">
        <f>VLOOKUP(G152,'[1]historico puntos 2022-2025'!$A$2:$G$19,7,0)</f>
        <v>99</v>
      </c>
      <c r="Z152" t="s">
        <v>38</v>
      </c>
      <c r="AA152">
        <f t="shared" si="8"/>
        <v>150</v>
      </c>
    </row>
    <row r="153" spans="1:27" hidden="1" x14ac:dyDescent="0.3">
      <c r="A153" t="str">
        <f t="shared" si="6"/>
        <v>2024-Mazatlán</v>
      </c>
      <c r="B153" t="str">
        <f t="shared" si="7"/>
        <v>2024-Chivas</v>
      </c>
      <c r="C153">
        <v>2024</v>
      </c>
      <c r="D153" t="s">
        <v>20</v>
      </c>
      <c r="E153" s="2">
        <v>2</v>
      </c>
      <c r="F153" s="2">
        <v>2</v>
      </c>
      <c r="G153" t="s">
        <v>21</v>
      </c>
      <c r="H153">
        <v>31.45</v>
      </c>
      <c r="I153">
        <v>3.15</v>
      </c>
      <c r="J153">
        <v>9.44</v>
      </c>
      <c r="K153">
        <v>9.44</v>
      </c>
      <c r="L153">
        <v>9.44</v>
      </c>
      <c r="M153" s="6">
        <v>0.29411764705882354</v>
      </c>
      <c r="N153" s="6">
        <v>0.47058823529411764</v>
      </c>
      <c r="O153" s="6">
        <v>0.23529411764705882</v>
      </c>
      <c r="P153" s="10">
        <v>40</v>
      </c>
      <c r="Q153" t="s">
        <v>37</v>
      </c>
      <c r="R153" t="s">
        <v>37</v>
      </c>
      <c r="S153" t="s">
        <v>37</v>
      </c>
      <c r="T153" t="s">
        <v>37</v>
      </c>
      <c r="U153" t="s">
        <v>37</v>
      </c>
      <c r="V153" s="6">
        <v>0.23529411764705882</v>
      </c>
      <c r="W153" s="6">
        <v>0.23529411764705882</v>
      </c>
      <c r="X153" s="6">
        <v>0.52941176470588236</v>
      </c>
      <c r="Y153" s="11">
        <f>VLOOKUP(G153,'[1]historico puntos 2022-2025'!$A$2:$G$19,7,0)</f>
        <v>99</v>
      </c>
      <c r="Z153" t="s">
        <v>39</v>
      </c>
      <c r="AA153">
        <f t="shared" si="8"/>
        <v>151</v>
      </c>
    </row>
    <row r="154" spans="1:27" hidden="1" x14ac:dyDescent="0.3">
      <c r="A154" t="str">
        <f t="shared" si="6"/>
        <v>2024-Atlético San Luis</v>
      </c>
      <c r="B154" t="str">
        <f t="shared" si="7"/>
        <v>2024-Chivas</v>
      </c>
      <c r="C154">
        <v>2024</v>
      </c>
      <c r="D154" t="s">
        <v>15</v>
      </c>
      <c r="E154" s="2">
        <v>0</v>
      </c>
      <c r="F154" s="2">
        <v>2</v>
      </c>
      <c r="G154" t="s">
        <v>21</v>
      </c>
      <c r="H154">
        <v>45.95</v>
      </c>
      <c r="I154">
        <v>4.5999999999999996</v>
      </c>
      <c r="J154">
        <v>13.84</v>
      </c>
      <c r="K154">
        <v>13.84</v>
      </c>
      <c r="L154">
        <v>13.84</v>
      </c>
      <c r="M154" s="6">
        <v>0.68421052631578949</v>
      </c>
      <c r="N154" s="6">
        <v>5.2631578947368418E-2</v>
      </c>
      <c r="O154" s="6">
        <v>0.26315789473684209</v>
      </c>
      <c r="P154" s="10">
        <v>59</v>
      </c>
      <c r="Q154" t="s">
        <v>37</v>
      </c>
      <c r="R154" t="s">
        <v>37</v>
      </c>
      <c r="S154" t="s">
        <v>37</v>
      </c>
      <c r="T154" t="s">
        <v>37</v>
      </c>
      <c r="U154" t="s">
        <v>37</v>
      </c>
      <c r="V154" s="6">
        <v>0.23529411764705882</v>
      </c>
      <c r="W154" s="6">
        <v>0.23529411764705882</v>
      </c>
      <c r="X154" s="6">
        <v>0.52941176470588236</v>
      </c>
      <c r="Y154" s="11">
        <f>VLOOKUP(G154,'[1]historico puntos 2022-2025'!$A$2:$G$19,7,0)</f>
        <v>99</v>
      </c>
      <c r="Z154" t="s">
        <v>40</v>
      </c>
      <c r="AA154">
        <f t="shared" si="8"/>
        <v>152</v>
      </c>
    </row>
    <row r="155" spans="1:27" hidden="1" x14ac:dyDescent="0.3">
      <c r="A155" t="str">
        <f t="shared" si="6"/>
        <v>2024-Chivas</v>
      </c>
      <c r="B155" t="str">
        <f t="shared" si="7"/>
        <v>2024-Toluca</v>
      </c>
      <c r="C155">
        <v>2024</v>
      </c>
      <c r="D155" t="s">
        <v>21</v>
      </c>
      <c r="E155" s="2">
        <v>3</v>
      </c>
      <c r="F155" s="2">
        <v>2</v>
      </c>
      <c r="G155" t="s">
        <v>2</v>
      </c>
      <c r="H155">
        <v>70.2</v>
      </c>
      <c r="I155">
        <v>7.02</v>
      </c>
      <c r="J155">
        <v>21.06</v>
      </c>
      <c r="K155">
        <v>21.06</v>
      </c>
      <c r="L155">
        <v>21.06</v>
      </c>
      <c r="M155" s="6">
        <v>0.44444444444444442</v>
      </c>
      <c r="N155" s="6">
        <v>0.33333333333333331</v>
      </c>
      <c r="O155" s="6">
        <v>0.22222222222222221</v>
      </c>
      <c r="P155" s="10">
        <v>99</v>
      </c>
      <c r="Q155">
        <v>77.45</v>
      </c>
      <c r="R155">
        <v>7.75</v>
      </c>
      <c r="S155">
        <v>23.24</v>
      </c>
      <c r="T155">
        <v>23.24</v>
      </c>
      <c r="U155">
        <v>23.24</v>
      </c>
      <c r="V155" s="6">
        <v>0.38095238095238093</v>
      </c>
      <c r="W155" s="6">
        <v>0.33333333333333331</v>
      </c>
      <c r="X155" s="6">
        <v>0.2857142857142857</v>
      </c>
      <c r="Y155" s="11">
        <f>VLOOKUP(G155,'[1]historico puntos 2022-2025'!$A$2:$G$19,7,0)</f>
        <v>118</v>
      </c>
      <c r="Z155" t="s">
        <v>38</v>
      </c>
      <c r="AA155">
        <f t="shared" si="8"/>
        <v>153</v>
      </c>
    </row>
    <row r="156" spans="1:27" hidden="1" x14ac:dyDescent="0.3">
      <c r="A156" t="str">
        <f t="shared" si="6"/>
        <v>2024-Xolos</v>
      </c>
      <c r="B156" t="str">
        <f t="shared" si="7"/>
        <v>2024-Chivas</v>
      </c>
      <c r="C156">
        <v>2024</v>
      </c>
      <c r="D156" t="s">
        <v>19</v>
      </c>
      <c r="E156" s="2">
        <v>1</v>
      </c>
      <c r="F156" s="2">
        <v>1</v>
      </c>
      <c r="G156" t="s">
        <v>21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s="6">
        <v>0.55000000000000004</v>
      </c>
      <c r="N156" s="6">
        <v>0.15</v>
      </c>
      <c r="O156" s="6">
        <v>0.3</v>
      </c>
      <c r="P156" s="10">
        <v>49</v>
      </c>
      <c r="Q156" t="s">
        <v>37</v>
      </c>
      <c r="R156" t="s">
        <v>37</v>
      </c>
      <c r="S156" t="s">
        <v>37</v>
      </c>
      <c r="T156" t="s">
        <v>37</v>
      </c>
      <c r="U156" t="s">
        <v>37</v>
      </c>
      <c r="V156" s="6">
        <v>0.23529411764705882</v>
      </c>
      <c r="W156" s="6">
        <v>0.23529411764705882</v>
      </c>
      <c r="X156" s="6">
        <v>0.52941176470588236</v>
      </c>
      <c r="Y156" s="11">
        <f>VLOOKUP(G156,'[1]historico puntos 2022-2025'!$A$2:$G$19,7,0)</f>
        <v>99</v>
      </c>
      <c r="Z156" t="s">
        <v>39</v>
      </c>
      <c r="AA156">
        <f t="shared" si="8"/>
        <v>154</v>
      </c>
    </row>
    <row r="157" spans="1:27" x14ac:dyDescent="0.3">
      <c r="A157" t="str">
        <f t="shared" si="6"/>
        <v>2024-Tigres</v>
      </c>
      <c r="B157" t="str">
        <f t="shared" si="7"/>
        <v>2024-Chivas</v>
      </c>
      <c r="C157">
        <v>2024</v>
      </c>
      <c r="D157" t="s">
        <v>17</v>
      </c>
      <c r="E157" s="2">
        <v>1</v>
      </c>
      <c r="F157" s="2">
        <v>0</v>
      </c>
      <c r="G157" t="s">
        <v>21</v>
      </c>
      <c r="H157">
        <v>67</v>
      </c>
      <c r="I157">
        <v>6.7</v>
      </c>
      <c r="J157">
        <v>20.100000000000001</v>
      </c>
      <c r="K157">
        <v>20.100000000000001</v>
      </c>
      <c r="L157">
        <v>20.100000000000001</v>
      </c>
      <c r="M157" s="6">
        <v>0.7</v>
      </c>
      <c r="N157" s="6">
        <v>0.25</v>
      </c>
      <c r="O157" s="6">
        <v>0.05</v>
      </c>
      <c r="P157" s="10">
        <v>107</v>
      </c>
      <c r="Q157" t="s">
        <v>37</v>
      </c>
      <c r="R157" t="s">
        <v>37</v>
      </c>
      <c r="S157" t="s">
        <v>37</v>
      </c>
      <c r="T157" t="s">
        <v>37</v>
      </c>
      <c r="U157" t="s">
        <v>37</v>
      </c>
      <c r="V157" s="6">
        <v>0.23529411764705882</v>
      </c>
      <c r="W157" s="6">
        <v>0.23529411764705882</v>
      </c>
      <c r="X157" s="6">
        <v>0.52941176470588236</v>
      </c>
      <c r="Y157" s="11">
        <f>VLOOKUP(G157,'[1]historico puntos 2022-2025'!$A$2:$G$19,7,0)</f>
        <v>99</v>
      </c>
      <c r="Z157" t="s">
        <v>38</v>
      </c>
      <c r="AA157">
        <f t="shared" si="8"/>
        <v>155</v>
      </c>
    </row>
    <row r="158" spans="1:27" hidden="1" x14ac:dyDescent="0.3">
      <c r="A158" t="str">
        <f t="shared" si="6"/>
        <v>2024-Chivas</v>
      </c>
      <c r="B158" t="str">
        <f t="shared" si="7"/>
        <v>2024-Santos Laguna</v>
      </c>
      <c r="C158">
        <v>2024</v>
      </c>
      <c r="D158" t="s">
        <v>21</v>
      </c>
      <c r="E158" s="2">
        <v>1</v>
      </c>
      <c r="F158" s="2">
        <v>1</v>
      </c>
      <c r="G158" t="s">
        <v>11</v>
      </c>
      <c r="H158">
        <v>70.2</v>
      </c>
      <c r="I158">
        <v>7.02</v>
      </c>
      <c r="J158">
        <v>21.06</v>
      </c>
      <c r="K158">
        <v>21.06</v>
      </c>
      <c r="L158">
        <v>21.06</v>
      </c>
      <c r="M158" s="6">
        <v>0.44444444444444442</v>
      </c>
      <c r="N158" s="6">
        <v>0.33333333333333331</v>
      </c>
      <c r="O158" s="6">
        <v>0.22222222222222221</v>
      </c>
      <c r="P158" s="10">
        <v>99</v>
      </c>
      <c r="Q158" t="s">
        <v>37</v>
      </c>
      <c r="R158" t="s">
        <v>37</v>
      </c>
      <c r="S158" t="s">
        <v>37</v>
      </c>
      <c r="T158" t="s">
        <v>37</v>
      </c>
      <c r="U158" t="s">
        <v>37</v>
      </c>
      <c r="V158" s="6">
        <v>0</v>
      </c>
      <c r="W158" s="6">
        <v>0.11764705882352941</v>
      </c>
      <c r="X158" s="6">
        <v>0.88235294117647056</v>
      </c>
      <c r="Y158" s="11">
        <f>VLOOKUP(G158,'[1]historico puntos 2022-2025'!$A$2:$G$19,7,0)</f>
        <v>46</v>
      </c>
      <c r="Z158" t="s">
        <v>39</v>
      </c>
      <c r="AA158">
        <f t="shared" si="8"/>
        <v>156</v>
      </c>
    </row>
    <row r="159" spans="1:27" hidden="1" x14ac:dyDescent="0.3">
      <c r="A159" t="str">
        <f t="shared" si="6"/>
        <v>2023-Pumas</v>
      </c>
      <c r="B159" t="str">
        <f t="shared" si="7"/>
        <v>2023-Chivas</v>
      </c>
      <c r="C159">
        <v>2023</v>
      </c>
      <c r="D159" t="s">
        <v>16</v>
      </c>
      <c r="E159" s="2">
        <v>3</v>
      </c>
      <c r="F159" s="2">
        <v>0</v>
      </c>
      <c r="G159" t="s">
        <v>21</v>
      </c>
      <c r="H159" t="s">
        <v>37</v>
      </c>
      <c r="I159" t="s">
        <v>37</v>
      </c>
      <c r="J159" t="s">
        <v>37</v>
      </c>
      <c r="K159" t="s">
        <v>37</v>
      </c>
      <c r="L159" t="s">
        <v>37</v>
      </c>
      <c r="M159" s="6">
        <v>0.5</v>
      </c>
      <c r="N159" s="6">
        <v>0.16666666666666666</v>
      </c>
      <c r="O159" s="6">
        <v>0.33333333333333331</v>
      </c>
      <c r="P159" s="10">
        <v>75</v>
      </c>
      <c r="Q159" t="s">
        <v>37</v>
      </c>
      <c r="R159" t="s">
        <v>37</v>
      </c>
      <c r="S159" t="s">
        <v>37</v>
      </c>
      <c r="T159" t="s">
        <v>37</v>
      </c>
      <c r="U159" t="s">
        <v>37</v>
      </c>
      <c r="V159" s="6">
        <v>0.23529411764705882</v>
      </c>
      <c r="W159" s="6">
        <v>0.23529411764705882</v>
      </c>
      <c r="X159" s="6">
        <v>0.52941176470588236</v>
      </c>
      <c r="Y159" s="11">
        <f>VLOOKUP(G159,'[1]historico puntos 2022-2025'!$A$2:$G$19,7,0)</f>
        <v>99</v>
      </c>
      <c r="Z159" t="s">
        <v>38</v>
      </c>
      <c r="AA159">
        <f t="shared" si="8"/>
        <v>157</v>
      </c>
    </row>
    <row r="160" spans="1:27" hidden="1" x14ac:dyDescent="0.3">
      <c r="A160" t="str">
        <f t="shared" si="6"/>
        <v>2023-Chivas</v>
      </c>
      <c r="B160" t="str">
        <f t="shared" si="7"/>
        <v>2023-Pumas</v>
      </c>
      <c r="C160">
        <v>2023</v>
      </c>
      <c r="D160" t="s">
        <v>21</v>
      </c>
      <c r="E160" s="2">
        <v>1</v>
      </c>
      <c r="F160" s="2">
        <v>0</v>
      </c>
      <c r="G160" t="s">
        <v>16</v>
      </c>
      <c r="H160">
        <v>69.7</v>
      </c>
      <c r="I160">
        <v>6.97</v>
      </c>
      <c r="J160">
        <v>20.91</v>
      </c>
      <c r="K160">
        <v>20.91</v>
      </c>
      <c r="L160">
        <v>20.91</v>
      </c>
      <c r="M160" s="6">
        <v>0.44444444444444442</v>
      </c>
      <c r="N160" s="6">
        <v>0.33333333333333331</v>
      </c>
      <c r="O160" s="6">
        <v>0.22222222222222221</v>
      </c>
      <c r="P160" s="10">
        <v>99</v>
      </c>
      <c r="Q160" t="s">
        <v>37</v>
      </c>
      <c r="R160" t="s">
        <v>37</v>
      </c>
      <c r="S160" t="s">
        <v>37</v>
      </c>
      <c r="T160" t="s">
        <v>37</v>
      </c>
      <c r="U160" t="s">
        <v>37</v>
      </c>
      <c r="V160" s="6">
        <v>0.3</v>
      </c>
      <c r="W160" s="6">
        <v>0.25</v>
      </c>
      <c r="X160" s="6">
        <v>0.45</v>
      </c>
      <c r="Y160" s="11">
        <f>VLOOKUP(G160,'[1]historico puntos 2022-2025'!$A$2:$G$19,7,0)</f>
        <v>75</v>
      </c>
      <c r="Z160" t="s">
        <v>38</v>
      </c>
      <c r="AA160">
        <f t="shared" si="8"/>
        <v>158</v>
      </c>
    </row>
    <row r="161" spans="1:27" hidden="1" x14ac:dyDescent="0.3">
      <c r="A161" t="str">
        <f t="shared" si="6"/>
        <v>2023-Pumas</v>
      </c>
      <c r="B161" t="str">
        <f t="shared" si="7"/>
        <v>2023-Chivas</v>
      </c>
      <c r="C161">
        <v>2023</v>
      </c>
      <c r="D161" t="s">
        <v>16</v>
      </c>
      <c r="E161" s="2">
        <v>1</v>
      </c>
      <c r="F161" s="2">
        <v>0</v>
      </c>
      <c r="G161" t="s">
        <v>21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s="6">
        <v>0.5</v>
      </c>
      <c r="N161" s="6">
        <v>0.16666666666666666</v>
      </c>
      <c r="O161" s="6">
        <v>0.33333333333333331</v>
      </c>
      <c r="P161" s="10">
        <v>75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s="6">
        <v>0.23529411764705882</v>
      </c>
      <c r="W161" s="6">
        <v>0.23529411764705882</v>
      </c>
      <c r="X161" s="6">
        <v>0.52941176470588236</v>
      </c>
      <c r="Y161" s="11">
        <f>VLOOKUP(G161,'[1]historico puntos 2022-2025'!$A$2:$G$19,7,0)</f>
        <v>99</v>
      </c>
      <c r="Z161" t="s">
        <v>38</v>
      </c>
      <c r="AA161">
        <f t="shared" si="8"/>
        <v>159</v>
      </c>
    </row>
    <row r="162" spans="1:27" hidden="1" x14ac:dyDescent="0.3">
      <c r="A162" t="str">
        <f t="shared" si="6"/>
        <v>2023-Chivas</v>
      </c>
      <c r="B162" t="str">
        <f t="shared" si="7"/>
        <v>2023-Cruz Azul</v>
      </c>
      <c r="C162">
        <v>2023</v>
      </c>
      <c r="D162" t="s">
        <v>21</v>
      </c>
      <c r="E162" s="2">
        <v>1</v>
      </c>
      <c r="F162" s="2">
        <v>0</v>
      </c>
      <c r="G162" t="s">
        <v>10</v>
      </c>
      <c r="H162">
        <v>69.7</v>
      </c>
      <c r="I162">
        <v>6.97</v>
      </c>
      <c r="J162">
        <v>20.91</v>
      </c>
      <c r="K162">
        <v>20.91</v>
      </c>
      <c r="L162">
        <v>20.91</v>
      </c>
      <c r="M162" s="6">
        <v>0.44444444444444442</v>
      </c>
      <c r="N162" s="6">
        <v>0.33333333333333331</v>
      </c>
      <c r="O162" s="6">
        <v>0.22222222222222221</v>
      </c>
      <c r="P162" s="10">
        <v>99</v>
      </c>
      <c r="Q162">
        <v>72.2</v>
      </c>
      <c r="R162">
        <v>7.22</v>
      </c>
      <c r="S162">
        <v>21.66</v>
      </c>
      <c r="T162">
        <v>21.66</v>
      </c>
      <c r="U162">
        <v>21.66</v>
      </c>
      <c r="V162" s="6">
        <v>0.52380952380952384</v>
      </c>
      <c r="W162" s="6">
        <v>0.23809523809523808</v>
      </c>
      <c r="X162" s="6">
        <v>0.23809523809523808</v>
      </c>
      <c r="Y162" s="11">
        <f>VLOOKUP(G162,'[1]historico puntos 2022-2025'!$A$2:$G$19,7,0)</f>
        <v>107</v>
      </c>
      <c r="Z162" t="s">
        <v>38</v>
      </c>
      <c r="AA162">
        <f t="shared" si="8"/>
        <v>160</v>
      </c>
    </row>
    <row r="163" spans="1:27" hidden="1" x14ac:dyDescent="0.3">
      <c r="A163" t="str">
        <f t="shared" si="6"/>
        <v>2023-Querétaro</v>
      </c>
      <c r="B163" t="str">
        <f t="shared" si="7"/>
        <v>2023-Chivas</v>
      </c>
      <c r="C163">
        <v>2023</v>
      </c>
      <c r="D163" t="s">
        <v>22</v>
      </c>
      <c r="E163" s="2">
        <v>1</v>
      </c>
      <c r="F163" s="2">
        <v>2</v>
      </c>
      <c r="G163" t="s">
        <v>21</v>
      </c>
      <c r="H163">
        <v>21.45</v>
      </c>
      <c r="I163">
        <v>2.14</v>
      </c>
      <c r="J163">
        <v>6.44</v>
      </c>
      <c r="K163">
        <v>6.44</v>
      </c>
      <c r="L163">
        <v>6.44</v>
      </c>
      <c r="M163" s="6">
        <v>0.35294117647058826</v>
      </c>
      <c r="N163" s="6">
        <v>0.11764705882352941</v>
      </c>
      <c r="O163" s="6">
        <v>0.52941176470588236</v>
      </c>
      <c r="P163" s="10">
        <v>64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s="6">
        <v>0.23529411764705882</v>
      </c>
      <c r="W163" s="6">
        <v>0.23529411764705882</v>
      </c>
      <c r="X163" s="6">
        <v>0.52941176470588236</v>
      </c>
      <c r="Y163" s="11">
        <f>VLOOKUP(G163,'[1]historico puntos 2022-2025'!$A$2:$G$19,7,0)</f>
        <v>99</v>
      </c>
      <c r="Z163" t="s">
        <v>40</v>
      </c>
      <c r="AA163">
        <f t="shared" si="8"/>
        <v>161</v>
      </c>
    </row>
    <row r="164" spans="1:27" hidden="1" x14ac:dyDescent="0.3">
      <c r="A164" t="str">
        <f t="shared" si="6"/>
        <v>2023-Chivas</v>
      </c>
      <c r="B164" t="str">
        <f t="shared" si="7"/>
        <v>2023-Tigres</v>
      </c>
      <c r="C164">
        <v>2023</v>
      </c>
      <c r="D164" t="s">
        <v>21</v>
      </c>
      <c r="E164" s="2">
        <v>0</v>
      </c>
      <c r="F164" s="2">
        <v>4</v>
      </c>
      <c r="G164" t="s">
        <v>17</v>
      </c>
      <c r="H164">
        <v>69.7</v>
      </c>
      <c r="I164">
        <v>6.97</v>
      </c>
      <c r="J164">
        <v>20.91</v>
      </c>
      <c r="K164">
        <v>20.91</v>
      </c>
      <c r="L164">
        <v>20.91</v>
      </c>
      <c r="M164" s="6">
        <v>0.44444444444444442</v>
      </c>
      <c r="N164" s="6">
        <v>0.33333333333333331</v>
      </c>
      <c r="O164" s="6">
        <v>0.22222222222222221</v>
      </c>
      <c r="P164" s="10">
        <v>99</v>
      </c>
      <c r="Q164" t="s">
        <v>37</v>
      </c>
      <c r="R164" t="s">
        <v>37</v>
      </c>
      <c r="S164" t="s">
        <v>37</v>
      </c>
      <c r="T164" t="s">
        <v>37</v>
      </c>
      <c r="U164" t="s">
        <v>37</v>
      </c>
      <c r="V164" s="6">
        <v>0.3</v>
      </c>
      <c r="W164" s="6">
        <v>0.3</v>
      </c>
      <c r="X164" s="6">
        <v>0.4</v>
      </c>
      <c r="Y164" s="11">
        <f>VLOOKUP(G164,'[1]historico puntos 2022-2025'!$A$2:$G$19,7,0)</f>
        <v>107</v>
      </c>
      <c r="Z164" t="s">
        <v>40</v>
      </c>
      <c r="AA164">
        <f t="shared" si="8"/>
        <v>162</v>
      </c>
    </row>
    <row r="165" spans="1:27" hidden="1" x14ac:dyDescent="0.3">
      <c r="A165" t="str">
        <f t="shared" si="6"/>
        <v>2023-Puebla</v>
      </c>
      <c r="B165" t="str">
        <f t="shared" si="7"/>
        <v>2023-Chivas</v>
      </c>
      <c r="C165">
        <v>2023</v>
      </c>
      <c r="D165" t="s">
        <v>1</v>
      </c>
      <c r="E165" s="2">
        <v>0</v>
      </c>
      <c r="F165" s="2">
        <v>2</v>
      </c>
      <c r="G165" t="s">
        <v>21</v>
      </c>
      <c r="H165">
        <v>26.7</v>
      </c>
      <c r="I165">
        <v>2.67</v>
      </c>
      <c r="J165">
        <v>8.01</v>
      </c>
      <c r="K165">
        <v>8.01</v>
      </c>
      <c r="L165">
        <v>8.01</v>
      </c>
      <c r="M165" s="6">
        <v>0.23529411764705882</v>
      </c>
      <c r="N165" s="6">
        <v>0.11764705882352941</v>
      </c>
      <c r="O165" s="6">
        <v>0.6470588235294118</v>
      </c>
      <c r="P165" s="10">
        <v>34</v>
      </c>
      <c r="Q165" t="s">
        <v>37</v>
      </c>
      <c r="R165" t="s">
        <v>37</v>
      </c>
      <c r="S165" t="s">
        <v>37</v>
      </c>
      <c r="T165" t="s">
        <v>37</v>
      </c>
      <c r="U165" t="s">
        <v>37</v>
      </c>
      <c r="V165" s="6">
        <v>0.23529411764705882</v>
      </c>
      <c r="W165" s="6">
        <v>0.23529411764705882</v>
      </c>
      <c r="X165" s="6">
        <v>0.52941176470588236</v>
      </c>
      <c r="Y165" s="11">
        <f>VLOOKUP(G165,'[1]historico puntos 2022-2025'!$A$2:$G$19,7,0)</f>
        <v>99</v>
      </c>
      <c r="Z165" t="s">
        <v>40</v>
      </c>
      <c r="AA165">
        <f t="shared" si="8"/>
        <v>163</v>
      </c>
    </row>
    <row r="166" spans="1:27" hidden="1" x14ac:dyDescent="0.3">
      <c r="A166" t="str">
        <f t="shared" si="6"/>
        <v>2023-Chivas</v>
      </c>
      <c r="B166" t="str">
        <f t="shared" si="7"/>
        <v>2023-Atlas</v>
      </c>
      <c r="C166">
        <v>2023</v>
      </c>
      <c r="D166" t="s">
        <v>21</v>
      </c>
      <c r="E166" s="2">
        <v>4</v>
      </c>
      <c r="F166" s="2">
        <v>1</v>
      </c>
      <c r="G166" t="s">
        <v>5</v>
      </c>
      <c r="H166">
        <v>69.7</v>
      </c>
      <c r="I166">
        <v>6.97</v>
      </c>
      <c r="J166">
        <v>20.91</v>
      </c>
      <c r="K166">
        <v>20.91</v>
      </c>
      <c r="L166">
        <v>20.91</v>
      </c>
      <c r="M166" s="6">
        <v>0.44444444444444442</v>
      </c>
      <c r="N166" s="6">
        <v>0.33333333333333331</v>
      </c>
      <c r="O166" s="6">
        <v>0.22222222222222221</v>
      </c>
      <c r="P166" s="10">
        <v>99</v>
      </c>
      <c r="Q166">
        <v>30.7</v>
      </c>
      <c r="R166">
        <v>3.07</v>
      </c>
      <c r="S166">
        <v>9.2100000000000009</v>
      </c>
      <c r="T166">
        <v>9.2100000000000009</v>
      </c>
      <c r="U166">
        <v>9.2100000000000009</v>
      </c>
      <c r="V166" s="6">
        <v>0.26315789473684209</v>
      </c>
      <c r="W166" s="6">
        <v>0.31578947368421051</v>
      </c>
      <c r="X166" s="6">
        <v>0.42105263157894735</v>
      </c>
      <c r="Y166" s="11">
        <f>VLOOKUP(G166,'[1]historico puntos 2022-2025'!$A$2:$G$19,7,0)</f>
        <v>60</v>
      </c>
      <c r="Z166" t="s">
        <v>38</v>
      </c>
      <c r="AA166">
        <f t="shared" si="8"/>
        <v>164</v>
      </c>
    </row>
    <row r="167" spans="1:27" hidden="1" x14ac:dyDescent="0.3">
      <c r="A167" t="str">
        <f t="shared" si="6"/>
        <v>2023-Toluca</v>
      </c>
      <c r="B167" t="str">
        <f t="shared" si="7"/>
        <v>2023-Chivas</v>
      </c>
      <c r="C167">
        <v>2023</v>
      </c>
      <c r="D167" t="s">
        <v>2</v>
      </c>
      <c r="E167" s="2">
        <v>1</v>
      </c>
      <c r="F167" s="2">
        <v>1</v>
      </c>
      <c r="G167" t="s">
        <v>21</v>
      </c>
      <c r="H167">
        <v>66.2</v>
      </c>
      <c r="I167">
        <v>6.62</v>
      </c>
      <c r="J167">
        <v>19.86</v>
      </c>
      <c r="K167">
        <v>19.86</v>
      </c>
      <c r="L167">
        <v>19.86</v>
      </c>
      <c r="M167" s="6">
        <v>0.76190476190476186</v>
      </c>
      <c r="N167" s="6">
        <v>0.19047619047619047</v>
      </c>
      <c r="O167" s="6">
        <v>4.7619047619047616E-2</v>
      </c>
      <c r="P167" s="10">
        <v>118</v>
      </c>
      <c r="Q167" t="s">
        <v>37</v>
      </c>
      <c r="R167" t="s">
        <v>37</v>
      </c>
      <c r="S167" t="s">
        <v>37</v>
      </c>
      <c r="T167" t="s">
        <v>37</v>
      </c>
      <c r="U167" t="s">
        <v>37</v>
      </c>
      <c r="V167" s="6">
        <v>0.23529411764705882</v>
      </c>
      <c r="W167" s="6">
        <v>0.23529411764705882</v>
      </c>
      <c r="X167" s="6">
        <v>0.52941176470588236</v>
      </c>
      <c r="Y167" s="11">
        <f>VLOOKUP(G167,'[1]historico puntos 2022-2025'!$A$2:$G$19,7,0)</f>
        <v>99</v>
      </c>
      <c r="Z167" t="s">
        <v>39</v>
      </c>
      <c r="AA167">
        <f t="shared" si="8"/>
        <v>165</v>
      </c>
    </row>
    <row r="168" spans="1:27" hidden="1" x14ac:dyDescent="0.3">
      <c r="A168" t="str">
        <f t="shared" si="6"/>
        <v>2023-Chivas</v>
      </c>
      <c r="B168" t="str">
        <f t="shared" si="7"/>
        <v>2023-Mazatlán</v>
      </c>
      <c r="C168">
        <v>2023</v>
      </c>
      <c r="D168" t="s">
        <v>21</v>
      </c>
      <c r="E168" s="2">
        <v>1</v>
      </c>
      <c r="F168" s="2">
        <v>3</v>
      </c>
      <c r="G168" t="s">
        <v>20</v>
      </c>
      <c r="H168">
        <v>69.7</v>
      </c>
      <c r="I168">
        <v>6.97</v>
      </c>
      <c r="J168">
        <v>20.91</v>
      </c>
      <c r="K168">
        <v>20.91</v>
      </c>
      <c r="L168">
        <v>20.91</v>
      </c>
      <c r="M168" s="6">
        <v>0.44444444444444442</v>
      </c>
      <c r="N168" s="6">
        <v>0.33333333333333331</v>
      </c>
      <c r="O168" s="6">
        <v>0.22222222222222221</v>
      </c>
      <c r="P168" s="10">
        <v>99</v>
      </c>
      <c r="Q168">
        <v>35.049999999999997</v>
      </c>
      <c r="R168">
        <v>3.5</v>
      </c>
      <c r="S168">
        <v>10.51</v>
      </c>
      <c r="T168">
        <v>10.51</v>
      </c>
      <c r="U168">
        <v>10.51</v>
      </c>
      <c r="V168" s="6">
        <v>5.8823529411764705E-2</v>
      </c>
      <c r="W168" s="6">
        <v>0.29411764705882354</v>
      </c>
      <c r="X168" s="6">
        <v>0.6470588235294118</v>
      </c>
      <c r="Y168" s="11">
        <f>VLOOKUP(G168,'[1]historico puntos 2022-2025'!$A$2:$G$19,7,0)</f>
        <v>40</v>
      </c>
      <c r="Z168" t="s">
        <v>40</v>
      </c>
      <c r="AA168">
        <f t="shared" si="8"/>
        <v>166</v>
      </c>
    </row>
    <row r="169" spans="1:27" hidden="1" x14ac:dyDescent="0.3">
      <c r="A169" t="str">
        <f t="shared" si="6"/>
        <v>2023-Chivas</v>
      </c>
      <c r="B169" t="str">
        <f t="shared" si="7"/>
        <v>2023-Pachuca</v>
      </c>
      <c r="C169">
        <v>2023</v>
      </c>
      <c r="D169" t="s">
        <v>21</v>
      </c>
      <c r="E169" s="2">
        <v>0</v>
      </c>
      <c r="F169" s="2">
        <v>0</v>
      </c>
      <c r="G169" t="s">
        <v>0</v>
      </c>
      <c r="H169">
        <v>69.7</v>
      </c>
      <c r="I169">
        <v>6.97</v>
      </c>
      <c r="J169">
        <v>20.91</v>
      </c>
      <c r="K169">
        <v>20.91</v>
      </c>
      <c r="L169">
        <v>20.91</v>
      </c>
      <c r="M169" s="6">
        <v>0.44444444444444442</v>
      </c>
      <c r="N169" s="6">
        <v>0.33333333333333331</v>
      </c>
      <c r="O169" s="6">
        <v>0.22222222222222221</v>
      </c>
      <c r="P169" s="10">
        <v>99</v>
      </c>
      <c r="Q169">
        <v>51.25</v>
      </c>
      <c r="R169">
        <v>5.13</v>
      </c>
      <c r="S169">
        <v>15.38</v>
      </c>
      <c r="T169">
        <v>15.38</v>
      </c>
      <c r="U169">
        <v>15.38</v>
      </c>
      <c r="V169" s="6">
        <v>0.26315789473684209</v>
      </c>
      <c r="W169" s="6">
        <v>0.15789473684210525</v>
      </c>
      <c r="X169" s="6">
        <v>0.57894736842105265</v>
      </c>
      <c r="Y169" s="11">
        <f>VLOOKUP(G169,'[1]historico puntos 2022-2025'!$A$2:$G$19,7,0)</f>
        <v>98</v>
      </c>
      <c r="Z169" t="s">
        <v>39</v>
      </c>
      <c r="AA169">
        <f t="shared" si="8"/>
        <v>167</v>
      </c>
    </row>
    <row r="170" spans="1:27" hidden="1" x14ac:dyDescent="0.3">
      <c r="A170" t="str">
        <f t="shared" si="6"/>
        <v>2023-América</v>
      </c>
      <c r="B170" t="str">
        <f t="shared" si="7"/>
        <v>2023-Chivas</v>
      </c>
      <c r="C170">
        <v>2023</v>
      </c>
      <c r="D170" t="s">
        <v>14</v>
      </c>
      <c r="E170" s="2">
        <v>4</v>
      </c>
      <c r="F170" s="2">
        <v>0</v>
      </c>
      <c r="G170" t="s">
        <v>21</v>
      </c>
      <c r="H170">
        <v>84.2</v>
      </c>
      <c r="I170">
        <v>8.42</v>
      </c>
      <c r="J170">
        <v>25.26</v>
      </c>
      <c r="K170">
        <v>25.26</v>
      </c>
      <c r="L170">
        <v>25.26</v>
      </c>
      <c r="M170" s="6">
        <v>0.65217391304347827</v>
      </c>
      <c r="N170" s="6">
        <v>0.21739130434782608</v>
      </c>
      <c r="O170" s="6">
        <v>0.13043478260869565</v>
      </c>
      <c r="P170" s="10">
        <v>133</v>
      </c>
      <c r="Q170" t="s">
        <v>37</v>
      </c>
      <c r="R170" t="s">
        <v>37</v>
      </c>
      <c r="S170" t="s">
        <v>37</v>
      </c>
      <c r="T170" t="s">
        <v>37</v>
      </c>
      <c r="U170" t="s">
        <v>37</v>
      </c>
      <c r="V170" s="6">
        <v>0.23529411764705882</v>
      </c>
      <c r="W170" s="6">
        <v>0.23529411764705882</v>
      </c>
      <c r="X170" s="6">
        <v>0.52941176470588236</v>
      </c>
      <c r="Y170" s="11">
        <f>VLOOKUP(G170,'[1]historico puntos 2022-2025'!$A$2:$G$19,7,0)</f>
        <v>99</v>
      </c>
      <c r="Z170" t="s">
        <v>38</v>
      </c>
      <c r="AA170">
        <f t="shared" si="8"/>
        <v>168</v>
      </c>
    </row>
    <row r="171" spans="1:27" hidden="1" x14ac:dyDescent="0.3">
      <c r="A171" t="str">
        <f t="shared" si="6"/>
        <v>2023-Chivas</v>
      </c>
      <c r="B171" t="str">
        <f t="shared" si="7"/>
        <v>2023-Monterrey</v>
      </c>
      <c r="C171">
        <v>2023</v>
      </c>
      <c r="D171" t="s">
        <v>21</v>
      </c>
      <c r="E171" s="2">
        <v>1</v>
      </c>
      <c r="F171" s="2">
        <v>2</v>
      </c>
      <c r="G171" t="s">
        <v>3</v>
      </c>
      <c r="H171">
        <v>69.7</v>
      </c>
      <c r="I171">
        <v>6.97</v>
      </c>
      <c r="J171">
        <v>20.91</v>
      </c>
      <c r="K171">
        <v>20.91</v>
      </c>
      <c r="L171">
        <v>20.91</v>
      </c>
      <c r="M171" s="6">
        <v>0.44444444444444442</v>
      </c>
      <c r="N171" s="6">
        <v>0.33333333333333331</v>
      </c>
      <c r="O171" s="6">
        <v>0.22222222222222221</v>
      </c>
      <c r="P171" s="10">
        <v>99</v>
      </c>
      <c r="Q171">
        <v>88.1</v>
      </c>
      <c r="R171">
        <v>8.81</v>
      </c>
      <c r="S171">
        <v>26.43</v>
      </c>
      <c r="T171">
        <v>26.43</v>
      </c>
      <c r="U171">
        <v>26.43</v>
      </c>
      <c r="V171" s="6">
        <v>0.38095238095238093</v>
      </c>
      <c r="W171" s="6">
        <v>0.23809523809523808</v>
      </c>
      <c r="X171" s="6">
        <v>0.38095238095238093</v>
      </c>
      <c r="Y171" s="11">
        <f>VLOOKUP(G171,'[1]historico puntos 2022-2025'!$A$2:$G$19,7,0)</f>
        <v>118</v>
      </c>
      <c r="Z171" t="s">
        <v>40</v>
      </c>
      <c r="AA171">
        <f t="shared" si="8"/>
        <v>169</v>
      </c>
    </row>
    <row r="172" spans="1:27" hidden="1" x14ac:dyDescent="0.3">
      <c r="A172" t="str">
        <f t="shared" si="6"/>
        <v>2023-Santos Laguna</v>
      </c>
      <c r="B172" t="str">
        <f t="shared" si="7"/>
        <v>2023-Chivas</v>
      </c>
      <c r="C172">
        <v>2023</v>
      </c>
      <c r="D172" t="s">
        <v>11</v>
      </c>
      <c r="E172" s="2">
        <v>2</v>
      </c>
      <c r="F172" s="2">
        <v>1</v>
      </c>
      <c r="G172" t="s">
        <v>21</v>
      </c>
      <c r="H172">
        <v>46</v>
      </c>
      <c r="I172">
        <v>4.5999999999999996</v>
      </c>
      <c r="J172">
        <v>13.8</v>
      </c>
      <c r="K172">
        <v>13.8</v>
      </c>
      <c r="L172">
        <v>13.8</v>
      </c>
      <c r="M172" s="6">
        <v>0.23529411764705882</v>
      </c>
      <c r="N172" s="6">
        <v>0.17647058823529413</v>
      </c>
      <c r="O172" s="6">
        <v>0.58823529411764708</v>
      </c>
      <c r="P172" s="10">
        <v>46</v>
      </c>
      <c r="Q172" t="s">
        <v>37</v>
      </c>
      <c r="R172" t="s">
        <v>37</v>
      </c>
      <c r="S172" t="s">
        <v>37</v>
      </c>
      <c r="T172" t="s">
        <v>37</v>
      </c>
      <c r="U172" t="s">
        <v>37</v>
      </c>
      <c r="V172" s="6">
        <v>0.23529411764705882</v>
      </c>
      <c r="W172" s="6">
        <v>0.23529411764705882</v>
      </c>
      <c r="X172" s="6">
        <v>0.52941176470588236</v>
      </c>
      <c r="Y172" s="11">
        <f>VLOOKUP(G172,'[1]historico puntos 2022-2025'!$A$2:$G$19,7,0)</f>
        <v>99</v>
      </c>
      <c r="Z172" t="s">
        <v>38</v>
      </c>
      <c r="AA172">
        <f t="shared" si="8"/>
        <v>170</v>
      </c>
    </row>
    <row r="173" spans="1:27" hidden="1" x14ac:dyDescent="0.3">
      <c r="A173" t="str">
        <f t="shared" si="6"/>
        <v>2023-Chivas</v>
      </c>
      <c r="B173" t="str">
        <f t="shared" si="7"/>
        <v>2023-Xolos</v>
      </c>
      <c r="C173">
        <v>2023</v>
      </c>
      <c r="D173" t="s">
        <v>21</v>
      </c>
      <c r="E173" s="2">
        <v>1</v>
      </c>
      <c r="F173" s="2">
        <v>0</v>
      </c>
      <c r="G173" t="s">
        <v>19</v>
      </c>
      <c r="H173">
        <v>69.7</v>
      </c>
      <c r="I173">
        <v>6.97</v>
      </c>
      <c r="J173">
        <v>20.91</v>
      </c>
      <c r="K173">
        <v>20.91</v>
      </c>
      <c r="L173">
        <v>20.91</v>
      </c>
      <c r="M173" s="6">
        <v>0.44444444444444442</v>
      </c>
      <c r="N173" s="6">
        <v>0.33333333333333331</v>
      </c>
      <c r="O173" s="6">
        <v>0.22222222222222221</v>
      </c>
      <c r="P173" s="10">
        <v>99</v>
      </c>
      <c r="Q173" t="s">
        <v>37</v>
      </c>
      <c r="R173" t="s">
        <v>37</v>
      </c>
      <c r="S173" t="s">
        <v>37</v>
      </c>
      <c r="T173" t="s">
        <v>37</v>
      </c>
      <c r="U173" t="s">
        <v>37</v>
      </c>
      <c r="V173" s="6">
        <v>0.27777777777777779</v>
      </c>
      <c r="W173" s="6">
        <v>0.22222222222222221</v>
      </c>
      <c r="X173" s="6">
        <v>0.5</v>
      </c>
      <c r="Y173" s="11">
        <f>VLOOKUP(G173,'[1]historico puntos 2022-2025'!$A$2:$G$19,7,0)</f>
        <v>49</v>
      </c>
      <c r="Z173" t="s">
        <v>38</v>
      </c>
      <c r="AA173">
        <f t="shared" si="8"/>
        <v>171</v>
      </c>
    </row>
    <row r="174" spans="1:27" hidden="1" x14ac:dyDescent="0.3">
      <c r="A174" t="str">
        <f t="shared" si="6"/>
        <v>2023-Juarez</v>
      </c>
      <c r="B174" t="str">
        <f t="shared" si="7"/>
        <v>2023-Chivas</v>
      </c>
      <c r="C174">
        <v>2023</v>
      </c>
      <c r="D174" t="s">
        <v>18</v>
      </c>
      <c r="E174" s="2">
        <v>1</v>
      </c>
      <c r="F174" s="2">
        <v>1</v>
      </c>
      <c r="G174" t="s">
        <v>21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s="6">
        <v>0.27777777777777779</v>
      </c>
      <c r="N174" s="6">
        <v>0.33333333333333331</v>
      </c>
      <c r="O174" s="6">
        <v>0.3888888888888889</v>
      </c>
      <c r="P174" s="10">
        <v>55</v>
      </c>
      <c r="Q174" t="s">
        <v>37</v>
      </c>
      <c r="R174" t="s">
        <v>37</v>
      </c>
      <c r="S174" t="s">
        <v>37</v>
      </c>
      <c r="T174" t="s">
        <v>37</v>
      </c>
      <c r="U174" t="s">
        <v>37</v>
      </c>
      <c r="V174" s="6">
        <v>0.23529411764705882</v>
      </c>
      <c r="W174" s="6">
        <v>0.23529411764705882</v>
      </c>
      <c r="X174" s="6">
        <v>0.52941176470588236</v>
      </c>
      <c r="Y174" s="11">
        <f>VLOOKUP(G174,'[1]historico puntos 2022-2025'!$A$2:$G$19,7,0)</f>
        <v>99</v>
      </c>
      <c r="Z174" t="s">
        <v>39</v>
      </c>
      <c r="AA174">
        <f t="shared" si="8"/>
        <v>172</v>
      </c>
    </row>
    <row r="175" spans="1:27" hidden="1" x14ac:dyDescent="0.3">
      <c r="A175" t="str">
        <f t="shared" si="6"/>
        <v>2023-Chivas</v>
      </c>
      <c r="B175" t="str">
        <f t="shared" si="7"/>
        <v>2023-Necaxa</v>
      </c>
      <c r="C175">
        <v>2023</v>
      </c>
      <c r="D175" t="s">
        <v>21</v>
      </c>
      <c r="E175" s="2">
        <v>2</v>
      </c>
      <c r="F175" s="2">
        <v>0</v>
      </c>
      <c r="G175" t="s">
        <v>4</v>
      </c>
      <c r="H175">
        <v>69.7</v>
      </c>
      <c r="I175">
        <v>6.97</v>
      </c>
      <c r="J175">
        <v>20.91</v>
      </c>
      <c r="K175">
        <v>20.91</v>
      </c>
      <c r="L175">
        <v>20.91</v>
      </c>
      <c r="M175" s="6">
        <v>0.44444444444444442</v>
      </c>
      <c r="N175" s="6">
        <v>0.33333333333333331</v>
      </c>
      <c r="O175" s="6">
        <v>0.22222222222222221</v>
      </c>
      <c r="P175" s="10">
        <v>99</v>
      </c>
      <c r="Q175">
        <v>40</v>
      </c>
      <c r="R175">
        <v>4</v>
      </c>
      <c r="S175">
        <v>12</v>
      </c>
      <c r="T175">
        <v>12</v>
      </c>
      <c r="U175">
        <v>12</v>
      </c>
      <c r="V175" s="6">
        <v>0.27777777777777779</v>
      </c>
      <c r="W175" s="6">
        <v>0.27777777777777779</v>
      </c>
      <c r="X175" s="6">
        <v>0.44444444444444442</v>
      </c>
      <c r="Y175" s="11">
        <f>VLOOKUP(G175,'[1]historico puntos 2022-2025'!$A$2:$G$19,7,0)</f>
        <v>77</v>
      </c>
      <c r="Z175" t="s">
        <v>38</v>
      </c>
      <c r="AA175">
        <f t="shared" si="8"/>
        <v>173</v>
      </c>
    </row>
    <row r="176" spans="1:27" hidden="1" x14ac:dyDescent="0.3">
      <c r="A176" t="str">
        <f t="shared" si="6"/>
        <v>2023-Chivas</v>
      </c>
      <c r="B176" t="str">
        <f t="shared" si="7"/>
        <v>2023-Atlético San Luis</v>
      </c>
      <c r="C176">
        <v>2023</v>
      </c>
      <c r="D176" t="s">
        <v>21</v>
      </c>
      <c r="E176" s="2">
        <v>3</v>
      </c>
      <c r="F176" s="2">
        <v>1</v>
      </c>
      <c r="G176" t="s">
        <v>15</v>
      </c>
      <c r="H176">
        <v>69.7</v>
      </c>
      <c r="I176">
        <v>6.97</v>
      </c>
      <c r="J176">
        <v>20.91</v>
      </c>
      <c r="K176">
        <v>20.91</v>
      </c>
      <c r="L176">
        <v>20.91</v>
      </c>
      <c r="M176" s="6">
        <v>0.44444444444444442</v>
      </c>
      <c r="N176" s="6">
        <v>0.33333333333333331</v>
      </c>
      <c r="O176" s="6">
        <v>0.22222222222222221</v>
      </c>
      <c r="P176" s="10">
        <v>99</v>
      </c>
      <c r="Q176">
        <v>35.85</v>
      </c>
      <c r="R176">
        <v>3.59</v>
      </c>
      <c r="S176">
        <v>10.77</v>
      </c>
      <c r="T176">
        <v>10.77</v>
      </c>
      <c r="U176">
        <v>10.77</v>
      </c>
      <c r="V176" s="6">
        <v>0.21052631578947367</v>
      </c>
      <c r="W176" s="6">
        <v>0.15789473684210525</v>
      </c>
      <c r="X176" s="6">
        <v>0.63157894736842102</v>
      </c>
      <c r="Y176" s="11">
        <f>VLOOKUP(G176,'[1]historico puntos 2022-2025'!$A$2:$G$19,7,0)</f>
        <v>59</v>
      </c>
      <c r="Z176" t="s">
        <v>38</v>
      </c>
      <c r="AA176">
        <f t="shared" si="8"/>
        <v>174</v>
      </c>
    </row>
    <row r="177" spans="1:27" hidden="1" x14ac:dyDescent="0.3">
      <c r="A177" t="str">
        <f t="shared" si="6"/>
        <v>2023-León</v>
      </c>
      <c r="B177" t="str">
        <f t="shared" si="7"/>
        <v>2023-Chivas</v>
      </c>
      <c r="C177">
        <v>2023</v>
      </c>
      <c r="D177" t="s">
        <v>36</v>
      </c>
      <c r="E177" s="2">
        <v>1</v>
      </c>
      <c r="F177" s="2">
        <v>2</v>
      </c>
      <c r="G177" t="s">
        <v>21</v>
      </c>
      <c r="H177">
        <v>41.5</v>
      </c>
      <c r="I177">
        <v>4.1500000000000004</v>
      </c>
      <c r="J177">
        <v>12.45</v>
      </c>
      <c r="K177">
        <v>12.45</v>
      </c>
      <c r="L177">
        <v>12.45</v>
      </c>
      <c r="M177" s="6">
        <v>0.3888888888888889</v>
      </c>
      <c r="N177" s="6">
        <v>0.3888888888888889</v>
      </c>
      <c r="O177" s="6">
        <v>0.22222222222222221</v>
      </c>
      <c r="P177" s="10">
        <v>87</v>
      </c>
      <c r="Q177" t="s">
        <v>37</v>
      </c>
      <c r="R177" t="s">
        <v>37</v>
      </c>
      <c r="S177" t="s">
        <v>37</v>
      </c>
      <c r="T177" t="s">
        <v>37</v>
      </c>
      <c r="U177" t="s">
        <v>37</v>
      </c>
      <c r="V177" s="6">
        <v>0.23529411764705882</v>
      </c>
      <c r="W177" s="6">
        <v>0.23529411764705882</v>
      </c>
      <c r="X177" s="6">
        <v>0.52941176470588236</v>
      </c>
      <c r="Y177" s="11">
        <f>VLOOKUP(G177,'[1]historico puntos 2022-2025'!$A$2:$G$19,7,0)</f>
        <v>99</v>
      </c>
      <c r="Z177" t="s">
        <v>40</v>
      </c>
      <c r="AA177">
        <f t="shared" si="8"/>
        <v>175</v>
      </c>
    </row>
    <row r="178" spans="1:27" hidden="1" x14ac:dyDescent="0.3">
      <c r="A178" t="str">
        <f t="shared" si="6"/>
        <v>2024-Juarez</v>
      </c>
      <c r="B178" t="str">
        <f t="shared" si="7"/>
        <v>2024-León</v>
      </c>
      <c r="C178">
        <v>2024</v>
      </c>
      <c r="D178" t="s">
        <v>18</v>
      </c>
      <c r="E178" s="2">
        <v>1</v>
      </c>
      <c r="F178" s="2">
        <v>1</v>
      </c>
      <c r="G178" t="s">
        <v>36</v>
      </c>
      <c r="H178" t="s">
        <v>37</v>
      </c>
      <c r="I178" t="s">
        <v>37</v>
      </c>
      <c r="J178" t="s">
        <v>37</v>
      </c>
      <c r="K178" t="s">
        <v>37</v>
      </c>
      <c r="L178" t="s">
        <v>37</v>
      </c>
      <c r="M178" s="6">
        <v>0.27777777777777779</v>
      </c>
      <c r="N178" s="6">
        <v>0.33333333333333331</v>
      </c>
      <c r="O178" s="6">
        <v>0.3888888888888889</v>
      </c>
      <c r="P178" s="10">
        <v>55</v>
      </c>
      <c r="Q178">
        <v>29.55</v>
      </c>
      <c r="R178">
        <v>2.96</v>
      </c>
      <c r="S178">
        <v>8.8699999999999992</v>
      </c>
      <c r="T178">
        <v>8.8699999999999992</v>
      </c>
      <c r="U178">
        <v>8.8699999999999992</v>
      </c>
      <c r="V178" s="6">
        <v>0.27777777777777779</v>
      </c>
      <c r="W178" s="6">
        <v>0.27777777777777779</v>
      </c>
      <c r="X178" s="6">
        <v>0.44444444444444442</v>
      </c>
      <c r="Y178" s="11">
        <f>VLOOKUP(G178,'[1]historico puntos 2022-2025'!$A$2:$G$19,7,0)</f>
        <v>87</v>
      </c>
      <c r="Z178" t="s">
        <v>39</v>
      </c>
      <c r="AA178">
        <f t="shared" si="8"/>
        <v>176</v>
      </c>
    </row>
    <row r="179" spans="1:27" hidden="1" x14ac:dyDescent="0.3">
      <c r="A179" t="str">
        <f t="shared" si="6"/>
        <v>2024-Juarez</v>
      </c>
      <c r="B179" t="str">
        <f t="shared" si="7"/>
        <v>2024-Xolos</v>
      </c>
      <c r="C179">
        <v>2024</v>
      </c>
      <c r="D179" t="s">
        <v>18</v>
      </c>
      <c r="E179" s="2">
        <v>0</v>
      </c>
      <c r="F179" s="2">
        <v>1</v>
      </c>
      <c r="G179" t="s">
        <v>19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M179" s="6">
        <v>0.27777777777777779</v>
      </c>
      <c r="N179" s="6">
        <v>0.33333333333333331</v>
      </c>
      <c r="O179" s="6">
        <v>0.3888888888888889</v>
      </c>
      <c r="P179" s="10">
        <v>55</v>
      </c>
      <c r="Q179">
        <v>39.15</v>
      </c>
      <c r="R179">
        <v>3.92</v>
      </c>
      <c r="S179">
        <v>11.75</v>
      </c>
      <c r="T179">
        <v>11.75</v>
      </c>
      <c r="U179">
        <v>11.75</v>
      </c>
      <c r="V179" s="6">
        <v>0.27777777777777779</v>
      </c>
      <c r="W179" s="6">
        <v>0.22222222222222221</v>
      </c>
      <c r="X179" s="6">
        <v>0.5</v>
      </c>
      <c r="Y179" s="11">
        <f>VLOOKUP(G179,'[1]historico puntos 2022-2025'!$A$2:$G$19,7,0)</f>
        <v>49</v>
      </c>
      <c r="Z179" t="s">
        <v>40</v>
      </c>
      <c r="AA179">
        <f t="shared" si="8"/>
        <v>177</v>
      </c>
    </row>
    <row r="180" spans="1:27" hidden="1" x14ac:dyDescent="0.3">
      <c r="A180" t="str">
        <f t="shared" si="6"/>
        <v>2024-Atlético San Luis</v>
      </c>
      <c r="B180" t="str">
        <f t="shared" si="7"/>
        <v>2024-Juarez</v>
      </c>
      <c r="C180">
        <v>2024</v>
      </c>
      <c r="D180" t="s">
        <v>15</v>
      </c>
      <c r="E180" s="2">
        <v>2</v>
      </c>
      <c r="F180" s="2">
        <v>3</v>
      </c>
      <c r="G180" t="s">
        <v>18</v>
      </c>
      <c r="H180">
        <v>45.95</v>
      </c>
      <c r="I180">
        <v>4.5999999999999996</v>
      </c>
      <c r="J180">
        <v>13.84</v>
      </c>
      <c r="K180">
        <v>13.84</v>
      </c>
      <c r="L180">
        <v>13.84</v>
      </c>
      <c r="M180" s="6">
        <v>0.68421052631578949</v>
      </c>
      <c r="N180" s="6">
        <v>5.2631578947368418E-2</v>
      </c>
      <c r="O180" s="6">
        <v>0.26315789473684209</v>
      </c>
      <c r="P180" s="10">
        <v>59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s="6">
        <v>0.35294117647058826</v>
      </c>
      <c r="W180" s="6">
        <v>0.17647058823529413</v>
      </c>
      <c r="X180" s="6">
        <v>0.47058823529411764</v>
      </c>
      <c r="Y180" s="11">
        <f>VLOOKUP(G180,'[1]historico puntos 2022-2025'!$A$2:$G$19,7,0)</f>
        <v>55</v>
      </c>
      <c r="Z180" t="s">
        <v>40</v>
      </c>
      <c r="AA180">
        <f t="shared" si="8"/>
        <v>178</v>
      </c>
    </row>
    <row r="181" spans="1:27" hidden="1" x14ac:dyDescent="0.3">
      <c r="A181" t="str">
        <f t="shared" si="6"/>
        <v>2024-Juarez</v>
      </c>
      <c r="B181" t="str">
        <f t="shared" si="7"/>
        <v>2024-Santos Laguna</v>
      </c>
      <c r="C181">
        <v>2024</v>
      </c>
      <c r="D181" t="s">
        <v>18</v>
      </c>
      <c r="E181" s="2">
        <v>2</v>
      </c>
      <c r="F181" s="2">
        <v>1</v>
      </c>
      <c r="G181" t="s">
        <v>11</v>
      </c>
      <c r="H181" t="s">
        <v>37</v>
      </c>
      <c r="I181" t="s">
        <v>37</v>
      </c>
      <c r="J181" t="s">
        <v>37</v>
      </c>
      <c r="K181" t="s">
        <v>37</v>
      </c>
      <c r="L181" t="s">
        <v>37</v>
      </c>
      <c r="M181" s="6">
        <v>0.27777777777777779</v>
      </c>
      <c r="N181" s="6">
        <v>0.33333333333333331</v>
      </c>
      <c r="O181" s="6">
        <v>0.3888888888888889</v>
      </c>
      <c r="P181" s="10">
        <v>55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s="6">
        <v>0</v>
      </c>
      <c r="W181" s="6">
        <v>0.11764705882352941</v>
      </c>
      <c r="X181" s="6">
        <v>0.88235294117647056</v>
      </c>
      <c r="Y181" s="11">
        <f>VLOOKUP(G181,'[1]historico puntos 2022-2025'!$A$2:$G$19,7,0)</f>
        <v>46</v>
      </c>
      <c r="Z181" t="s">
        <v>38</v>
      </c>
      <c r="AA181">
        <f t="shared" si="8"/>
        <v>179</v>
      </c>
    </row>
    <row r="182" spans="1:27" hidden="1" x14ac:dyDescent="0.3">
      <c r="A182" t="str">
        <f t="shared" si="6"/>
        <v>2024-Juarez</v>
      </c>
      <c r="B182" t="str">
        <f t="shared" si="7"/>
        <v>2024-Puebla</v>
      </c>
      <c r="C182">
        <v>2024</v>
      </c>
      <c r="D182" t="s">
        <v>18</v>
      </c>
      <c r="E182" s="2">
        <v>4</v>
      </c>
      <c r="F182" s="2">
        <v>3</v>
      </c>
      <c r="G182" t="s">
        <v>1</v>
      </c>
      <c r="H182" t="s">
        <v>37</v>
      </c>
      <c r="I182" t="s">
        <v>37</v>
      </c>
      <c r="J182" t="s">
        <v>37</v>
      </c>
      <c r="K182" t="s">
        <v>37</v>
      </c>
      <c r="L182" t="s">
        <v>37</v>
      </c>
      <c r="M182" s="6">
        <v>0.27777777777777779</v>
      </c>
      <c r="N182" s="6">
        <v>0.33333333333333331</v>
      </c>
      <c r="O182" s="6">
        <v>0.3888888888888889</v>
      </c>
      <c r="P182" s="10">
        <v>55</v>
      </c>
      <c r="Q182">
        <v>24.1</v>
      </c>
      <c r="R182">
        <v>2.41</v>
      </c>
      <c r="S182">
        <v>7.23</v>
      </c>
      <c r="T182">
        <v>7.23</v>
      </c>
      <c r="U182">
        <v>7.23</v>
      </c>
      <c r="V182" s="6">
        <v>0.11764705882352941</v>
      </c>
      <c r="W182" s="6">
        <v>0.17647058823529413</v>
      </c>
      <c r="X182" s="6">
        <v>0.70588235294117652</v>
      </c>
      <c r="Y182" s="11">
        <f>VLOOKUP(G182,'[1]historico puntos 2022-2025'!$A$2:$G$19,7,0)</f>
        <v>34</v>
      </c>
      <c r="Z182" t="s">
        <v>38</v>
      </c>
      <c r="AA182">
        <f t="shared" si="8"/>
        <v>180</v>
      </c>
    </row>
    <row r="183" spans="1:27" hidden="1" x14ac:dyDescent="0.3">
      <c r="A183" t="str">
        <f t="shared" si="6"/>
        <v>2024-Juarez</v>
      </c>
      <c r="B183" t="str">
        <f t="shared" si="7"/>
        <v>2024-Toluca</v>
      </c>
      <c r="C183">
        <v>2024</v>
      </c>
      <c r="D183" t="s">
        <v>18</v>
      </c>
      <c r="E183" s="2">
        <v>1</v>
      </c>
      <c r="F183" s="2">
        <v>1</v>
      </c>
      <c r="G183" t="s">
        <v>2</v>
      </c>
      <c r="H183" t="s">
        <v>37</v>
      </c>
      <c r="I183" t="s">
        <v>37</v>
      </c>
      <c r="J183" t="s">
        <v>37</v>
      </c>
      <c r="K183" t="s">
        <v>37</v>
      </c>
      <c r="L183" t="s">
        <v>37</v>
      </c>
      <c r="M183" s="6">
        <v>0.27777777777777779</v>
      </c>
      <c r="N183" s="6">
        <v>0.33333333333333331</v>
      </c>
      <c r="O183" s="6">
        <v>0.3888888888888889</v>
      </c>
      <c r="P183" s="10">
        <v>55</v>
      </c>
      <c r="Q183">
        <v>77.45</v>
      </c>
      <c r="R183">
        <v>7.75</v>
      </c>
      <c r="S183">
        <v>23.24</v>
      </c>
      <c r="T183">
        <v>23.24</v>
      </c>
      <c r="U183">
        <v>23.24</v>
      </c>
      <c r="V183" s="6">
        <v>0.38095238095238093</v>
      </c>
      <c r="W183" s="6">
        <v>0.33333333333333331</v>
      </c>
      <c r="X183" s="6">
        <v>0.2857142857142857</v>
      </c>
      <c r="Y183" s="11">
        <f>VLOOKUP(G183,'[1]historico puntos 2022-2025'!$A$2:$G$19,7,0)</f>
        <v>118</v>
      </c>
      <c r="Z183" t="s">
        <v>39</v>
      </c>
      <c r="AA183">
        <f t="shared" si="8"/>
        <v>181</v>
      </c>
    </row>
    <row r="184" spans="1:27" hidden="1" x14ac:dyDescent="0.3">
      <c r="A184" t="str">
        <f t="shared" si="6"/>
        <v>2024-Pachuca</v>
      </c>
      <c r="B184" t="str">
        <f t="shared" si="7"/>
        <v>2024-Juarez</v>
      </c>
      <c r="C184">
        <v>2024</v>
      </c>
      <c r="D184" t="s">
        <v>0</v>
      </c>
      <c r="E184" s="2">
        <v>3</v>
      </c>
      <c r="F184" s="2">
        <v>2</v>
      </c>
      <c r="G184" t="s">
        <v>18</v>
      </c>
      <c r="H184">
        <v>56.6</v>
      </c>
      <c r="I184">
        <v>5.66</v>
      </c>
      <c r="J184">
        <v>16.98</v>
      </c>
      <c r="K184">
        <v>16.98</v>
      </c>
      <c r="L184">
        <v>16.98</v>
      </c>
      <c r="M184" s="6">
        <v>0.3888888888888889</v>
      </c>
      <c r="N184" s="6">
        <v>0.33333333333333331</v>
      </c>
      <c r="O184" s="6">
        <v>0.27777777777777779</v>
      </c>
      <c r="P184" s="10">
        <v>98</v>
      </c>
      <c r="Q184" t="s">
        <v>37</v>
      </c>
      <c r="R184" t="s">
        <v>37</v>
      </c>
      <c r="S184" t="s">
        <v>37</v>
      </c>
      <c r="T184" t="s">
        <v>37</v>
      </c>
      <c r="U184" t="s">
        <v>37</v>
      </c>
      <c r="V184" s="6">
        <v>0.35294117647058826</v>
      </c>
      <c r="W184" s="6">
        <v>0.17647058823529413</v>
      </c>
      <c r="X184" s="6">
        <v>0.47058823529411764</v>
      </c>
      <c r="Y184" s="11">
        <f>VLOOKUP(G184,'[1]historico puntos 2022-2025'!$A$2:$G$19,7,0)</f>
        <v>55</v>
      </c>
      <c r="Z184" t="s">
        <v>38</v>
      </c>
      <c r="AA184">
        <f t="shared" si="8"/>
        <v>182</v>
      </c>
    </row>
    <row r="185" spans="1:27" x14ac:dyDescent="0.3">
      <c r="A185" t="str">
        <f t="shared" si="6"/>
        <v>2024-Tigres</v>
      </c>
      <c r="B185" t="str">
        <f t="shared" si="7"/>
        <v>2024-Juarez</v>
      </c>
      <c r="C185">
        <v>2024</v>
      </c>
      <c r="D185" t="s">
        <v>17</v>
      </c>
      <c r="E185" s="2">
        <v>1</v>
      </c>
      <c r="F185" s="2">
        <v>0</v>
      </c>
      <c r="G185" t="s">
        <v>18</v>
      </c>
      <c r="H185">
        <v>67</v>
      </c>
      <c r="I185">
        <v>6.7</v>
      </c>
      <c r="J185">
        <v>20.100000000000001</v>
      </c>
      <c r="K185">
        <v>20.100000000000001</v>
      </c>
      <c r="L185">
        <v>20.100000000000001</v>
      </c>
      <c r="M185" s="6">
        <v>0.7</v>
      </c>
      <c r="N185" s="6">
        <v>0.25</v>
      </c>
      <c r="O185" s="6">
        <v>0.05</v>
      </c>
      <c r="P185" s="10">
        <v>107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s="6">
        <v>0.35294117647058826</v>
      </c>
      <c r="W185" s="6">
        <v>0.17647058823529413</v>
      </c>
      <c r="X185" s="6">
        <v>0.47058823529411764</v>
      </c>
      <c r="Y185" s="11">
        <f>VLOOKUP(G185,'[1]historico puntos 2022-2025'!$A$2:$G$19,7,0)</f>
        <v>55</v>
      </c>
      <c r="Z185" t="s">
        <v>38</v>
      </c>
      <c r="AA185">
        <f t="shared" si="8"/>
        <v>183</v>
      </c>
    </row>
    <row r="186" spans="1:27" hidden="1" x14ac:dyDescent="0.3">
      <c r="A186" t="str">
        <f t="shared" si="6"/>
        <v>2024-Juarez</v>
      </c>
      <c r="B186" t="str">
        <f t="shared" si="7"/>
        <v>2024-Monterrey</v>
      </c>
      <c r="C186">
        <v>2024</v>
      </c>
      <c r="D186" t="s">
        <v>18</v>
      </c>
      <c r="E186" s="2">
        <v>0</v>
      </c>
      <c r="F186" s="2">
        <v>3</v>
      </c>
      <c r="G186" t="s">
        <v>3</v>
      </c>
      <c r="H186" t="s">
        <v>37</v>
      </c>
      <c r="I186" t="s">
        <v>37</v>
      </c>
      <c r="J186" t="s">
        <v>37</v>
      </c>
      <c r="K186" t="s">
        <v>37</v>
      </c>
      <c r="L186" t="s">
        <v>37</v>
      </c>
      <c r="M186" s="6">
        <v>0.27777777777777779</v>
      </c>
      <c r="N186" s="6">
        <v>0.33333333333333331</v>
      </c>
      <c r="O186" s="6">
        <v>0.3888888888888889</v>
      </c>
      <c r="P186" s="10">
        <v>55</v>
      </c>
      <c r="Q186">
        <v>88.6</v>
      </c>
      <c r="R186">
        <v>8.86</v>
      </c>
      <c r="S186">
        <v>26.58</v>
      </c>
      <c r="T186">
        <v>26.58</v>
      </c>
      <c r="U186">
        <v>26.58</v>
      </c>
      <c r="V186" s="6">
        <v>0.38095238095238093</v>
      </c>
      <c r="W186" s="6">
        <v>0.23809523809523808</v>
      </c>
      <c r="X186" s="6">
        <v>0.38095238095238093</v>
      </c>
      <c r="Y186" s="11">
        <f>VLOOKUP(G186,'[1]historico puntos 2022-2025'!$A$2:$G$19,7,0)</f>
        <v>118</v>
      </c>
      <c r="Z186" t="s">
        <v>40</v>
      </c>
      <c r="AA186">
        <f t="shared" si="8"/>
        <v>184</v>
      </c>
    </row>
    <row r="187" spans="1:27" hidden="1" x14ac:dyDescent="0.3">
      <c r="A187" t="str">
        <f t="shared" si="6"/>
        <v>2024-Juarez</v>
      </c>
      <c r="B187" t="str">
        <f t="shared" si="7"/>
        <v>2024-Necaxa</v>
      </c>
      <c r="C187">
        <v>2024</v>
      </c>
      <c r="D187" t="s">
        <v>18</v>
      </c>
      <c r="E187" s="2">
        <v>2</v>
      </c>
      <c r="F187" s="2">
        <v>2</v>
      </c>
      <c r="G187" t="s">
        <v>4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s="6">
        <v>0.27777777777777779</v>
      </c>
      <c r="N187" s="6">
        <v>0.33333333333333331</v>
      </c>
      <c r="O187" s="6">
        <v>0.3888888888888889</v>
      </c>
      <c r="P187" s="10">
        <v>55</v>
      </c>
      <c r="Q187">
        <v>38.5</v>
      </c>
      <c r="R187">
        <v>3.85</v>
      </c>
      <c r="S187">
        <v>11.55</v>
      </c>
      <c r="T187">
        <v>11.55</v>
      </c>
      <c r="U187">
        <v>11.55</v>
      </c>
      <c r="V187" s="6">
        <v>0.27777777777777779</v>
      </c>
      <c r="W187" s="6">
        <v>0.27777777777777779</v>
      </c>
      <c r="X187" s="6">
        <v>0.44444444444444442</v>
      </c>
      <c r="Y187" s="11">
        <f>VLOOKUP(G187,'[1]historico puntos 2022-2025'!$A$2:$G$19,7,0)</f>
        <v>77</v>
      </c>
      <c r="Z187" t="s">
        <v>39</v>
      </c>
      <c r="AA187">
        <f t="shared" si="8"/>
        <v>185</v>
      </c>
    </row>
    <row r="188" spans="1:27" hidden="1" x14ac:dyDescent="0.3">
      <c r="A188" t="str">
        <f t="shared" si="6"/>
        <v>2024-Juarez</v>
      </c>
      <c r="B188" t="str">
        <f t="shared" si="7"/>
        <v>2024-América</v>
      </c>
      <c r="C188">
        <v>2024</v>
      </c>
      <c r="D188" t="s">
        <v>18</v>
      </c>
      <c r="E188" s="2">
        <v>0</v>
      </c>
      <c r="F188" s="2">
        <v>2</v>
      </c>
      <c r="G188" t="s">
        <v>14</v>
      </c>
      <c r="H188" t="s">
        <v>37</v>
      </c>
      <c r="I188" t="s">
        <v>37</v>
      </c>
      <c r="J188" t="s">
        <v>37</v>
      </c>
      <c r="K188" t="s">
        <v>37</v>
      </c>
      <c r="L188" t="s">
        <v>37</v>
      </c>
      <c r="M188" s="6">
        <v>0.27777777777777779</v>
      </c>
      <c r="N188" s="6">
        <v>0.33333333333333331</v>
      </c>
      <c r="O188" s="6">
        <v>0.3888888888888889</v>
      </c>
      <c r="P188" s="10">
        <v>55</v>
      </c>
      <c r="Q188">
        <v>92.45</v>
      </c>
      <c r="R188">
        <v>9.25</v>
      </c>
      <c r="S188">
        <v>27.73</v>
      </c>
      <c r="T188">
        <v>27.73</v>
      </c>
      <c r="U188">
        <v>27.73</v>
      </c>
      <c r="V188" s="6">
        <v>0.375</v>
      </c>
      <c r="W188" s="6">
        <v>0.29166666666666669</v>
      </c>
      <c r="X188" s="6">
        <v>0.33333333333333331</v>
      </c>
      <c r="Y188" s="11">
        <f>VLOOKUP(G188,'[1]historico puntos 2022-2025'!$A$2:$G$19,7,0)</f>
        <v>133</v>
      </c>
      <c r="Z188" t="s">
        <v>40</v>
      </c>
      <c r="AA188">
        <f t="shared" si="8"/>
        <v>186</v>
      </c>
    </row>
    <row r="189" spans="1:27" hidden="1" x14ac:dyDescent="0.3">
      <c r="A189" t="str">
        <f t="shared" si="6"/>
        <v>2024-Juarez</v>
      </c>
      <c r="B189" t="str">
        <f t="shared" si="7"/>
        <v>2024-Cruz Azul</v>
      </c>
      <c r="C189">
        <v>2024</v>
      </c>
      <c r="D189" t="s">
        <v>18</v>
      </c>
      <c r="E189" s="2">
        <v>0</v>
      </c>
      <c r="F189" s="2">
        <v>0</v>
      </c>
      <c r="G189" t="s">
        <v>10</v>
      </c>
      <c r="H189" t="s">
        <v>37</v>
      </c>
      <c r="I189" t="s">
        <v>37</v>
      </c>
      <c r="J189" t="s">
        <v>37</v>
      </c>
      <c r="K189" t="s">
        <v>37</v>
      </c>
      <c r="L189" t="s">
        <v>37</v>
      </c>
      <c r="M189" s="6">
        <v>0.27777777777777779</v>
      </c>
      <c r="N189" s="6">
        <v>0.33333333333333331</v>
      </c>
      <c r="O189" s="6">
        <v>0.3888888888888889</v>
      </c>
      <c r="P189" s="10">
        <v>55</v>
      </c>
      <c r="Q189">
        <v>78.849999999999994</v>
      </c>
      <c r="R189">
        <v>7.89</v>
      </c>
      <c r="S189">
        <v>23.66</v>
      </c>
      <c r="T189">
        <v>23.66</v>
      </c>
      <c r="U189">
        <v>23.66</v>
      </c>
      <c r="V189" s="6">
        <v>0.52380952380952384</v>
      </c>
      <c r="W189" s="6">
        <v>0.23809523809523808</v>
      </c>
      <c r="X189" s="6">
        <v>0.23809523809523808</v>
      </c>
      <c r="Y189" s="11">
        <f>VLOOKUP(G189,'[1]historico puntos 2022-2025'!$A$2:$G$19,7,0)</f>
        <v>107</v>
      </c>
      <c r="Z189" t="s">
        <v>39</v>
      </c>
      <c r="AA189">
        <f t="shared" si="8"/>
        <v>187</v>
      </c>
    </row>
    <row r="190" spans="1:27" hidden="1" x14ac:dyDescent="0.3">
      <c r="A190" t="str">
        <f t="shared" si="6"/>
        <v>2023-León</v>
      </c>
      <c r="B190" t="str">
        <f t="shared" si="7"/>
        <v>2023-Juarez</v>
      </c>
      <c r="C190" s="1">
        <v>2023</v>
      </c>
      <c r="D190" t="s">
        <v>36</v>
      </c>
      <c r="E190" s="2">
        <v>2</v>
      </c>
      <c r="F190" s="2">
        <v>1</v>
      </c>
      <c r="G190" t="s">
        <v>18</v>
      </c>
      <c r="H190">
        <v>41.5</v>
      </c>
      <c r="I190">
        <v>4.1500000000000004</v>
      </c>
      <c r="J190">
        <v>12.45</v>
      </c>
      <c r="K190">
        <v>12.45</v>
      </c>
      <c r="L190">
        <v>12.45</v>
      </c>
      <c r="M190" s="6">
        <v>0.3888888888888889</v>
      </c>
      <c r="N190" s="6">
        <v>0.3888888888888889</v>
      </c>
      <c r="O190" s="6">
        <v>0.22222222222222221</v>
      </c>
      <c r="P190" s="10">
        <v>87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s="6">
        <v>0.35294117647058826</v>
      </c>
      <c r="W190" s="6">
        <v>0.17647058823529413</v>
      </c>
      <c r="X190" s="6">
        <v>0.47058823529411764</v>
      </c>
      <c r="Y190" s="11">
        <f>VLOOKUP(G190,'[1]historico puntos 2022-2025'!$A$2:$G$19,7,0)</f>
        <v>55</v>
      </c>
      <c r="Z190" t="s">
        <v>38</v>
      </c>
      <c r="AA190">
        <f t="shared" si="8"/>
        <v>188</v>
      </c>
    </row>
    <row r="191" spans="1:27" hidden="1" x14ac:dyDescent="0.3">
      <c r="A191" t="str">
        <f t="shared" si="6"/>
        <v>2023-Cruz Azul</v>
      </c>
      <c r="B191" t="str">
        <f t="shared" si="7"/>
        <v>2023-Juarez</v>
      </c>
      <c r="C191">
        <v>2023</v>
      </c>
      <c r="D191" t="s">
        <v>10</v>
      </c>
      <c r="E191" s="2">
        <v>2</v>
      </c>
      <c r="F191" s="2">
        <v>0</v>
      </c>
      <c r="G191" t="s">
        <v>18</v>
      </c>
      <c r="H191">
        <v>72.2</v>
      </c>
      <c r="I191">
        <v>7.22</v>
      </c>
      <c r="J191">
        <v>21.66</v>
      </c>
      <c r="K191">
        <v>21.66</v>
      </c>
      <c r="L191">
        <v>21.66</v>
      </c>
      <c r="M191" s="6">
        <v>0.7142857142857143</v>
      </c>
      <c r="N191" s="6">
        <v>0.23809523809523808</v>
      </c>
      <c r="O191" s="6">
        <v>4.7619047619047616E-2</v>
      </c>
      <c r="P191" s="10">
        <v>107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  <c r="V191" s="6">
        <v>0.35294117647058826</v>
      </c>
      <c r="W191" s="6">
        <v>0.17647058823529413</v>
      </c>
      <c r="X191" s="6">
        <v>0.47058823529411764</v>
      </c>
      <c r="Y191" s="11">
        <f>VLOOKUP(G191,'[1]historico puntos 2022-2025'!$A$2:$G$19,7,0)</f>
        <v>55</v>
      </c>
      <c r="Z191" t="s">
        <v>38</v>
      </c>
      <c r="AA191">
        <f t="shared" si="8"/>
        <v>189</v>
      </c>
    </row>
    <row r="192" spans="1:27" hidden="1" x14ac:dyDescent="0.3">
      <c r="A192" t="str">
        <f t="shared" si="6"/>
        <v>2023-Santos Laguna</v>
      </c>
      <c r="B192" t="str">
        <f t="shared" si="7"/>
        <v>2023-Juarez</v>
      </c>
      <c r="C192">
        <v>2023</v>
      </c>
      <c r="D192" t="s">
        <v>11</v>
      </c>
      <c r="E192" s="2">
        <v>5</v>
      </c>
      <c r="F192" s="2">
        <v>1</v>
      </c>
      <c r="G192" t="s">
        <v>18</v>
      </c>
      <c r="H192">
        <v>46</v>
      </c>
      <c r="I192">
        <v>4.5999999999999996</v>
      </c>
      <c r="J192">
        <v>13.8</v>
      </c>
      <c r="K192">
        <v>13.8</v>
      </c>
      <c r="L192">
        <v>13.8</v>
      </c>
      <c r="M192" s="6">
        <v>0.23529411764705882</v>
      </c>
      <c r="N192" s="6">
        <v>0.17647058823529413</v>
      </c>
      <c r="O192" s="6">
        <v>0.58823529411764708</v>
      </c>
      <c r="P192" s="10">
        <v>46</v>
      </c>
      <c r="Q192" t="s">
        <v>37</v>
      </c>
      <c r="R192" t="s">
        <v>37</v>
      </c>
      <c r="S192" t="s">
        <v>37</v>
      </c>
      <c r="T192" t="s">
        <v>37</v>
      </c>
      <c r="U192" t="s">
        <v>37</v>
      </c>
      <c r="V192" s="6">
        <v>0.35294117647058826</v>
      </c>
      <c r="W192" s="6">
        <v>0.17647058823529413</v>
      </c>
      <c r="X192" s="6">
        <v>0.47058823529411764</v>
      </c>
      <c r="Y192" s="11">
        <f>VLOOKUP(G192,'[1]historico puntos 2022-2025'!$A$2:$G$19,7,0)</f>
        <v>55</v>
      </c>
      <c r="Z192" t="s">
        <v>38</v>
      </c>
      <c r="AA192">
        <f t="shared" si="8"/>
        <v>190</v>
      </c>
    </row>
    <row r="193" spans="1:27" hidden="1" x14ac:dyDescent="0.3">
      <c r="A193" t="str">
        <f t="shared" si="6"/>
        <v>2023-Juarez</v>
      </c>
      <c r="B193" t="str">
        <f t="shared" si="7"/>
        <v>2023-Atlético San Luis</v>
      </c>
      <c r="C193">
        <v>2023</v>
      </c>
      <c r="D193" t="s">
        <v>18</v>
      </c>
      <c r="E193" s="2">
        <v>3</v>
      </c>
      <c r="F193" s="2">
        <v>2</v>
      </c>
      <c r="G193" t="s">
        <v>15</v>
      </c>
      <c r="H193" t="s">
        <v>37</v>
      </c>
      <c r="I193" t="s">
        <v>37</v>
      </c>
      <c r="J193" t="s">
        <v>37</v>
      </c>
      <c r="K193" t="s">
        <v>37</v>
      </c>
      <c r="L193" t="s">
        <v>37</v>
      </c>
      <c r="M193" s="6">
        <v>0.27777777777777779</v>
      </c>
      <c r="N193" s="6">
        <v>0.33333333333333331</v>
      </c>
      <c r="O193" s="6">
        <v>0.3888888888888889</v>
      </c>
      <c r="P193" s="10">
        <v>55</v>
      </c>
      <c r="Q193">
        <v>35.85</v>
      </c>
      <c r="R193">
        <v>3.59</v>
      </c>
      <c r="S193">
        <v>10.77</v>
      </c>
      <c r="T193">
        <v>10.77</v>
      </c>
      <c r="U193">
        <v>10.77</v>
      </c>
      <c r="V193" s="6">
        <v>0.21052631578947367</v>
      </c>
      <c r="W193" s="6">
        <v>0.15789473684210525</v>
      </c>
      <c r="X193" s="6">
        <v>0.63157894736842102</v>
      </c>
      <c r="Y193" s="11">
        <f>VLOOKUP(G193,'[1]historico puntos 2022-2025'!$A$2:$G$19,7,0)</f>
        <v>59</v>
      </c>
      <c r="Z193" t="s">
        <v>38</v>
      </c>
      <c r="AA193">
        <f t="shared" si="8"/>
        <v>191</v>
      </c>
    </row>
    <row r="194" spans="1:27" hidden="1" x14ac:dyDescent="0.3">
      <c r="A194" t="str">
        <f t="shared" si="6"/>
        <v>2023-Monterrey</v>
      </c>
      <c r="B194" t="str">
        <f t="shared" si="7"/>
        <v>2023-Juarez</v>
      </c>
      <c r="C194">
        <v>2023</v>
      </c>
      <c r="D194" t="s">
        <v>3</v>
      </c>
      <c r="E194" s="2">
        <v>3</v>
      </c>
      <c r="F194" s="2">
        <v>1</v>
      </c>
      <c r="G194" t="s">
        <v>18</v>
      </c>
      <c r="H194">
        <v>88.1</v>
      </c>
      <c r="I194">
        <v>8.81</v>
      </c>
      <c r="J194">
        <v>26.43</v>
      </c>
      <c r="K194">
        <v>26.43</v>
      </c>
      <c r="L194">
        <v>26.43</v>
      </c>
      <c r="M194" s="6">
        <v>0.60869565217391308</v>
      </c>
      <c r="N194" s="6">
        <v>0.17391304347826086</v>
      </c>
      <c r="O194" s="6">
        <v>0.21739130434782608</v>
      </c>
      <c r="P194" s="10">
        <v>118</v>
      </c>
      <c r="Q194" t="s">
        <v>37</v>
      </c>
      <c r="R194" t="s">
        <v>37</v>
      </c>
      <c r="S194" t="s">
        <v>37</v>
      </c>
      <c r="T194" t="s">
        <v>37</v>
      </c>
      <c r="U194" t="s">
        <v>37</v>
      </c>
      <c r="V194" s="6">
        <v>0.35294117647058826</v>
      </c>
      <c r="W194" s="6">
        <v>0.17647058823529413</v>
      </c>
      <c r="X194" s="6">
        <v>0.47058823529411764</v>
      </c>
      <c r="Y194" s="11">
        <f>VLOOKUP(G194,'[1]historico puntos 2022-2025'!$A$2:$G$19,7,0)</f>
        <v>55</v>
      </c>
      <c r="Z194" t="s">
        <v>38</v>
      </c>
      <c r="AA194">
        <f t="shared" si="8"/>
        <v>192</v>
      </c>
    </row>
    <row r="195" spans="1:27" hidden="1" x14ac:dyDescent="0.3">
      <c r="A195" t="str">
        <f t="shared" ref="A195:A258" si="9">C195&amp;"-"&amp;D195</f>
        <v>2023-Juarez</v>
      </c>
      <c r="B195" t="str">
        <f t="shared" ref="B195:B258" si="10">C195&amp;"-"&amp;G195</f>
        <v>2023-Atlas</v>
      </c>
      <c r="C195">
        <v>2023</v>
      </c>
      <c r="D195" t="s">
        <v>18</v>
      </c>
      <c r="E195" s="2">
        <v>1</v>
      </c>
      <c r="F195" s="2">
        <v>2</v>
      </c>
      <c r="G195" t="s">
        <v>5</v>
      </c>
      <c r="H195" t="s">
        <v>37</v>
      </c>
      <c r="I195" t="s">
        <v>37</v>
      </c>
      <c r="J195" t="s">
        <v>37</v>
      </c>
      <c r="K195" t="s">
        <v>37</v>
      </c>
      <c r="L195" t="s">
        <v>37</v>
      </c>
      <c r="M195" s="6">
        <v>0.27777777777777779</v>
      </c>
      <c r="N195" s="6">
        <v>0.33333333333333331</v>
      </c>
      <c r="O195" s="6">
        <v>0.3888888888888889</v>
      </c>
      <c r="P195" s="10">
        <v>55</v>
      </c>
      <c r="Q195">
        <v>30.7</v>
      </c>
      <c r="R195">
        <v>3.07</v>
      </c>
      <c r="S195">
        <v>9.2100000000000009</v>
      </c>
      <c r="T195">
        <v>9.2100000000000009</v>
      </c>
      <c r="U195">
        <v>9.2100000000000009</v>
      </c>
      <c r="V195" s="6">
        <v>0.26315789473684209</v>
      </c>
      <c r="W195" s="6">
        <v>0.31578947368421051</v>
      </c>
      <c r="X195" s="6">
        <v>0.42105263157894735</v>
      </c>
      <c r="Y195" s="11">
        <f>VLOOKUP(G195,'[1]historico puntos 2022-2025'!$A$2:$G$19,7,0)</f>
        <v>60</v>
      </c>
      <c r="Z195" t="s">
        <v>40</v>
      </c>
      <c r="AA195">
        <f t="shared" si="8"/>
        <v>193</v>
      </c>
    </row>
    <row r="196" spans="1:27" hidden="1" x14ac:dyDescent="0.3">
      <c r="A196" t="str">
        <f t="shared" si="9"/>
        <v>2023-Necaxa</v>
      </c>
      <c r="B196" t="str">
        <f t="shared" si="10"/>
        <v>2023-Juarez</v>
      </c>
      <c r="C196">
        <v>2023</v>
      </c>
      <c r="D196" t="s">
        <v>4</v>
      </c>
      <c r="E196" s="2">
        <v>1</v>
      </c>
      <c r="F196" s="2">
        <v>1</v>
      </c>
      <c r="G196" t="s">
        <v>18</v>
      </c>
      <c r="H196">
        <v>40</v>
      </c>
      <c r="I196">
        <v>4</v>
      </c>
      <c r="J196">
        <v>12</v>
      </c>
      <c r="K196">
        <v>12</v>
      </c>
      <c r="L196">
        <v>12</v>
      </c>
      <c r="M196" s="6">
        <v>0.44444444444444442</v>
      </c>
      <c r="N196" s="6">
        <v>0.22222222222222221</v>
      </c>
      <c r="O196" s="6">
        <v>0.33333333333333331</v>
      </c>
      <c r="P196" s="10">
        <v>77</v>
      </c>
      <c r="Q196" t="s">
        <v>37</v>
      </c>
      <c r="R196" t="s">
        <v>37</v>
      </c>
      <c r="S196" t="s">
        <v>37</v>
      </c>
      <c r="T196" t="s">
        <v>37</v>
      </c>
      <c r="U196" t="s">
        <v>37</v>
      </c>
      <c r="V196" s="6">
        <v>0.35294117647058826</v>
      </c>
      <c r="W196" s="6">
        <v>0.17647058823529413</v>
      </c>
      <c r="X196" s="6">
        <v>0.47058823529411764</v>
      </c>
      <c r="Y196" s="11">
        <f>VLOOKUP(G196,'[1]historico puntos 2022-2025'!$A$2:$G$19,7,0)</f>
        <v>55</v>
      </c>
      <c r="Z196" t="s">
        <v>39</v>
      </c>
      <c r="AA196">
        <f t="shared" ref="AA196:AA259" si="11">AA195+1</f>
        <v>194</v>
      </c>
    </row>
    <row r="197" spans="1:27" hidden="1" x14ac:dyDescent="0.3">
      <c r="A197" t="str">
        <f t="shared" si="9"/>
        <v>2023-Juarez</v>
      </c>
      <c r="B197" t="str">
        <f t="shared" si="10"/>
        <v>2023-Mazatlán</v>
      </c>
      <c r="C197">
        <v>2023</v>
      </c>
      <c r="D197" t="s">
        <v>18</v>
      </c>
      <c r="E197" s="2">
        <v>3</v>
      </c>
      <c r="F197" s="2">
        <v>1</v>
      </c>
      <c r="G197" t="s">
        <v>20</v>
      </c>
      <c r="H197" t="s">
        <v>37</v>
      </c>
      <c r="I197" t="s">
        <v>37</v>
      </c>
      <c r="J197" t="s">
        <v>37</v>
      </c>
      <c r="K197" t="s">
        <v>37</v>
      </c>
      <c r="L197" t="s">
        <v>37</v>
      </c>
      <c r="M197" s="6">
        <v>0.27777777777777779</v>
      </c>
      <c r="N197" s="6">
        <v>0.33333333333333331</v>
      </c>
      <c r="O197" s="6">
        <v>0.3888888888888889</v>
      </c>
      <c r="P197" s="10">
        <v>55</v>
      </c>
      <c r="Q197">
        <v>35.049999999999997</v>
      </c>
      <c r="R197">
        <v>3.5</v>
      </c>
      <c r="S197">
        <v>10.51</v>
      </c>
      <c r="T197">
        <v>10.51</v>
      </c>
      <c r="U197">
        <v>10.51</v>
      </c>
      <c r="V197" s="6">
        <v>5.8823529411764705E-2</v>
      </c>
      <c r="W197" s="6">
        <v>0.29411764705882354</v>
      </c>
      <c r="X197" s="6">
        <v>0.6470588235294118</v>
      </c>
      <c r="Y197" s="11">
        <f>VLOOKUP(G197,'[1]historico puntos 2022-2025'!$A$2:$G$19,7,0)</f>
        <v>40</v>
      </c>
      <c r="Z197" t="s">
        <v>38</v>
      </c>
      <c r="AA197">
        <f t="shared" si="11"/>
        <v>195</v>
      </c>
    </row>
    <row r="198" spans="1:27" hidden="1" x14ac:dyDescent="0.3">
      <c r="A198" t="str">
        <f t="shared" si="9"/>
        <v>2023-Puebla</v>
      </c>
      <c r="B198" t="str">
        <f t="shared" si="10"/>
        <v>2023-Juarez</v>
      </c>
      <c r="C198">
        <v>2023</v>
      </c>
      <c r="D198" t="s">
        <v>1</v>
      </c>
      <c r="E198" s="2">
        <v>1</v>
      </c>
      <c r="F198" s="2">
        <v>0</v>
      </c>
      <c r="G198" t="s">
        <v>18</v>
      </c>
      <c r="H198">
        <v>26.7</v>
      </c>
      <c r="I198">
        <v>2.67</v>
      </c>
      <c r="J198">
        <v>8.01</v>
      </c>
      <c r="K198">
        <v>8.01</v>
      </c>
      <c r="L198">
        <v>8.01</v>
      </c>
      <c r="M198" s="6">
        <v>0.23529411764705882</v>
      </c>
      <c r="N198" s="6">
        <v>0.11764705882352941</v>
      </c>
      <c r="O198" s="6">
        <v>0.6470588235294118</v>
      </c>
      <c r="P198" s="10">
        <v>34</v>
      </c>
      <c r="Q198" t="s">
        <v>37</v>
      </c>
      <c r="R198" t="s">
        <v>37</v>
      </c>
      <c r="S198" t="s">
        <v>37</v>
      </c>
      <c r="T198" t="s">
        <v>37</v>
      </c>
      <c r="U198" t="s">
        <v>37</v>
      </c>
      <c r="V198" s="6">
        <v>0.35294117647058826</v>
      </c>
      <c r="W198" s="6">
        <v>0.17647058823529413</v>
      </c>
      <c r="X198" s="6">
        <v>0.47058823529411764</v>
      </c>
      <c r="Y198" s="11">
        <f>VLOOKUP(G198,'[1]historico puntos 2022-2025'!$A$2:$G$19,7,0)</f>
        <v>55</v>
      </c>
      <c r="Z198" t="s">
        <v>38</v>
      </c>
      <c r="AA198">
        <f t="shared" si="11"/>
        <v>196</v>
      </c>
    </row>
    <row r="199" spans="1:27" hidden="1" x14ac:dyDescent="0.3">
      <c r="A199" t="str">
        <f t="shared" si="9"/>
        <v>2023-Juarez</v>
      </c>
      <c r="B199" t="str">
        <f t="shared" si="10"/>
        <v>2023-Pumas</v>
      </c>
      <c r="C199">
        <v>2023</v>
      </c>
      <c r="D199" t="s">
        <v>18</v>
      </c>
      <c r="E199" s="2">
        <v>4</v>
      </c>
      <c r="F199" s="2">
        <v>1</v>
      </c>
      <c r="G199" t="s">
        <v>16</v>
      </c>
      <c r="H199" t="s">
        <v>37</v>
      </c>
      <c r="I199" t="s">
        <v>37</v>
      </c>
      <c r="J199" t="s">
        <v>37</v>
      </c>
      <c r="K199" t="s">
        <v>37</v>
      </c>
      <c r="L199" t="s">
        <v>37</v>
      </c>
      <c r="M199" s="6">
        <v>0.27777777777777779</v>
      </c>
      <c r="N199" s="6">
        <v>0.33333333333333331</v>
      </c>
      <c r="O199" s="6">
        <v>0.3888888888888889</v>
      </c>
      <c r="P199" s="10">
        <v>55</v>
      </c>
      <c r="Q199" t="s">
        <v>37</v>
      </c>
      <c r="R199" t="s">
        <v>37</v>
      </c>
      <c r="S199" t="s">
        <v>37</v>
      </c>
      <c r="T199" t="s">
        <v>37</v>
      </c>
      <c r="U199" t="s">
        <v>37</v>
      </c>
      <c r="V199" s="6">
        <v>0.3</v>
      </c>
      <c r="W199" s="6">
        <v>0.25</v>
      </c>
      <c r="X199" s="6">
        <v>0.45</v>
      </c>
      <c r="Y199" s="11">
        <f>VLOOKUP(G199,'[1]historico puntos 2022-2025'!$A$2:$G$19,7,0)</f>
        <v>75</v>
      </c>
      <c r="Z199" t="s">
        <v>38</v>
      </c>
      <c r="AA199">
        <f t="shared" si="11"/>
        <v>197</v>
      </c>
    </row>
    <row r="200" spans="1:27" hidden="1" x14ac:dyDescent="0.3">
      <c r="A200" t="str">
        <f t="shared" si="9"/>
        <v>2023-Juarez</v>
      </c>
      <c r="B200" t="str">
        <f t="shared" si="10"/>
        <v>2023-Chivas</v>
      </c>
      <c r="C200">
        <v>2023</v>
      </c>
      <c r="D200" t="s">
        <v>18</v>
      </c>
      <c r="E200" s="2">
        <v>1</v>
      </c>
      <c r="F200" s="2">
        <v>1</v>
      </c>
      <c r="G200" t="s">
        <v>21</v>
      </c>
      <c r="H200" t="s">
        <v>37</v>
      </c>
      <c r="I200" t="s">
        <v>37</v>
      </c>
      <c r="J200" t="s">
        <v>37</v>
      </c>
      <c r="K200" t="s">
        <v>37</v>
      </c>
      <c r="L200" t="s">
        <v>37</v>
      </c>
      <c r="M200" s="6">
        <v>0.27777777777777779</v>
      </c>
      <c r="N200" s="6">
        <v>0.33333333333333331</v>
      </c>
      <c r="O200" s="6">
        <v>0.3888888888888889</v>
      </c>
      <c r="P200" s="10">
        <v>55</v>
      </c>
      <c r="Q200" t="s">
        <v>37</v>
      </c>
      <c r="R200" t="s">
        <v>37</v>
      </c>
      <c r="S200" t="s">
        <v>37</v>
      </c>
      <c r="T200" t="s">
        <v>37</v>
      </c>
      <c r="U200" t="s">
        <v>37</v>
      </c>
      <c r="V200" s="6">
        <v>0.23529411764705882</v>
      </c>
      <c r="W200" s="6">
        <v>0.23529411764705882</v>
      </c>
      <c r="X200" s="6">
        <v>0.52941176470588236</v>
      </c>
      <c r="Y200" s="11">
        <f>VLOOKUP(G200,'[1]historico puntos 2022-2025'!$A$2:$G$19,7,0)</f>
        <v>99</v>
      </c>
      <c r="Z200" t="s">
        <v>39</v>
      </c>
      <c r="AA200">
        <f t="shared" si="11"/>
        <v>198</v>
      </c>
    </row>
    <row r="201" spans="1:27" hidden="1" x14ac:dyDescent="0.3">
      <c r="A201" t="str">
        <f t="shared" si="9"/>
        <v>2023-Juarez</v>
      </c>
      <c r="B201" t="str">
        <f t="shared" si="10"/>
        <v>2023-Tigres</v>
      </c>
      <c r="C201">
        <v>2023</v>
      </c>
      <c r="D201" t="s">
        <v>18</v>
      </c>
      <c r="E201" s="2">
        <v>1</v>
      </c>
      <c r="F201" s="2">
        <v>1</v>
      </c>
      <c r="G201" t="s">
        <v>17</v>
      </c>
      <c r="H201" t="s">
        <v>37</v>
      </c>
      <c r="I201" t="s">
        <v>37</v>
      </c>
      <c r="J201" t="s">
        <v>37</v>
      </c>
      <c r="K201" t="s">
        <v>37</v>
      </c>
      <c r="L201" t="s">
        <v>37</v>
      </c>
      <c r="M201" s="6">
        <v>0.27777777777777779</v>
      </c>
      <c r="N201" s="6">
        <v>0.33333333333333331</v>
      </c>
      <c r="O201" s="6">
        <v>0.3888888888888889</v>
      </c>
      <c r="P201" s="10">
        <v>55</v>
      </c>
      <c r="Q201" t="s">
        <v>37</v>
      </c>
      <c r="R201" t="s">
        <v>37</v>
      </c>
      <c r="S201" t="s">
        <v>37</v>
      </c>
      <c r="T201" t="s">
        <v>37</v>
      </c>
      <c r="U201" t="s">
        <v>37</v>
      </c>
      <c r="V201" s="6">
        <v>0.3</v>
      </c>
      <c r="W201" s="6">
        <v>0.3</v>
      </c>
      <c r="X201" s="6">
        <v>0.4</v>
      </c>
      <c r="Y201" s="11">
        <f>VLOOKUP(G201,'[1]historico puntos 2022-2025'!$A$2:$G$19,7,0)</f>
        <v>107</v>
      </c>
      <c r="Z201" t="s">
        <v>39</v>
      </c>
      <c r="AA201">
        <f t="shared" si="11"/>
        <v>199</v>
      </c>
    </row>
    <row r="202" spans="1:27" hidden="1" x14ac:dyDescent="0.3">
      <c r="A202" t="str">
        <f t="shared" si="9"/>
        <v>2023-América</v>
      </c>
      <c r="B202" t="str">
        <f t="shared" si="10"/>
        <v>2023-Juarez</v>
      </c>
      <c r="C202">
        <v>2023</v>
      </c>
      <c r="D202" t="s">
        <v>14</v>
      </c>
      <c r="E202" s="2">
        <v>1</v>
      </c>
      <c r="F202" s="2">
        <v>2</v>
      </c>
      <c r="G202" t="s">
        <v>18</v>
      </c>
      <c r="H202">
        <v>84.2</v>
      </c>
      <c r="I202">
        <v>8.42</v>
      </c>
      <c r="J202">
        <v>25.26</v>
      </c>
      <c r="K202">
        <v>25.26</v>
      </c>
      <c r="L202">
        <v>25.26</v>
      </c>
      <c r="M202" s="6">
        <v>0.65217391304347827</v>
      </c>
      <c r="N202" s="6">
        <v>0.21739130434782608</v>
      </c>
      <c r="O202" s="6">
        <v>0.13043478260869565</v>
      </c>
      <c r="P202" s="10">
        <v>133</v>
      </c>
      <c r="Q202" t="s">
        <v>37</v>
      </c>
      <c r="R202" t="s">
        <v>37</v>
      </c>
      <c r="S202" t="s">
        <v>37</v>
      </c>
      <c r="T202" t="s">
        <v>37</v>
      </c>
      <c r="U202" t="s">
        <v>37</v>
      </c>
      <c r="V202" s="6">
        <v>0.35294117647058826</v>
      </c>
      <c r="W202" s="6">
        <v>0.17647058823529413</v>
      </c>
      <c r="X202" s="6">
        <v>0.47058823529411764</v>
      </c>
      <c r="Y202" s="11">
        <f>VLOOKUP(G202,'[1]historico puntos 2022-2025'!$A$2:$G$19,7,0)</f>
        <v>55</v>
      </c>
      <c r="Z202" t="s">
        <v>40</v>
      </c>
      <c r="AA202">
        <f t="shared" si="11"/>
        <v>200</v>
      </c>
    </row>
    <row r="203" spans="1:27" hidden="1" x14ac:dyDescent="0.3">
      <c r="A203" t="str">
        <f t="shared" si="9"/>
        <v>2024-Juarez</v>
      </c>
      <c r="B203" t="str">
        <f t="shared" si="10"/>
        <v>2024-León</v>
      </c>
      <c r="C203">
        <v>2024</v>
      </c>
      <c r="D203" t="s">
        <v>18</v>
      </c>
      <c r="E203" s="2">
        <v>1</v>
      </c>
      <c r="F203" s="2">
        <v>1</v>
      </c>
      <c r="G203" t="s">
        <v>36</v>
      </c>
      <c r="H203" t="s">
        <v>37</v>
      </c>
      <c r="I203" t="s">
        <v>37</v>
      </c>
      <c r="J203" t="s">
        <v>37</v>
      </c>
      <c r="K203" t="s">
        <v>37</v>
      </c>
      <c r="L203" t="s">
        <v>37</v>
      </c>
      <c r="M203" s="6">
        <v>0.27777777777777779</v>
      </c>
      <c r="N203" s="6">
        <v>0.33333333333333331</v>
      </c>
      <c r="O203" s="6">
        <v>0.3888888888888889</v>
      </c>
      <c r="P203" s="10">
        <v>55</v>
      </c>
      <c r="Q203">
        <v>29.55</v>
      </c>
      <c r="R203">
        <v>2.96</v>
      </c>
      <c r="S203">
        <v>8.8699999999999992</v>
      </c>
      <c r="T203">
        <v>8.8699999999999992</v>
      </c>
      <c r="U203">
        <v>8.8699999999999992</v>
      </c>
      <c r="V203" s="6">
        <v>0.27777777777777779</v>
      </c>
      <c r="W203" s="6">
        <v>0.27777777777777779</v>
      </c>
      <c r="X203" s="6">
        <v>0.44444444444444442</v>
      </c>
      <c r="Y203" s="11">
        <f>VLOOKUP(G203,'[1]historico puntos 2022-2025'!$A$2:$G$19,7,0)</f>
        <v>87</v>
      </c>
      <c r="Z203" t="s">
        <v>39</v>
      </c>
      <c r="AA203">
        <f t="shared" si="11"/>
        <v>201</v>
      </c>
    </row>
    <row r="204" spans="1:27" hidden="1" x14ac:dyDescent="0.3">
      <c r="A204" t="str">
        <f t="shared" si="9"/>
        <v>2024-León</v>
      </c>
      <c r="B204" t="str">
        <f t="shared" si="10"/>
        <v>2024-Monterrey</v>
      </c>
      <c r="C204">
        <v>2024</v>
      </c>
      <c r="D204" t="s">
        <v>36</v>
      </c>
      <c r="E204" s="2">
        <v>2</v>
      </c>
      <c r="F204" s="2">
        <v>0</v>
      </c>
      <c r="G204" t="s">
        <v>3</v>
      </c>
      <c r="H204">
        <v>29.55</v>
      </c>
      <c r="I204">
        <v>2.96</v>
      </c>
      <c r="J204">
        <v>8.8699999999999992</v>
      </c>
      <c r="K204">
        <v>8.8699999999999992</v>
      </c>
      <c r="L204">
        <v>8.8699999999999992</v>
      </c>
      <c r="M204" s="6">
        <v>0.3888888888888889</v>
      </c>
      <c r="N204" s="6">
        <v>0.3888888888888889</v>
      </c>
      <c r="O204" s="6">
        <v>0.22222222222222221</v>
      </c>
      <c r="P204" s="10">
        <v>87</v>
      </c>
      <c r="Q204">
        <v>88.6</v>
      </c>
      <c r="R204">
        <v>8.86</v>
      </c>
      <c r="S204">
        <v>26.58</v>
      </c>
      <c r="T204">
        <v>26.58</v>
      </c>
      <c r="U204">
        <v>26.58</v>
      </c>
      <c r="V204" s="6">
        <v>0.38095238095238093</v>
      </c>
      <c r="W204" s="6">
        <v>0.23809523809523808</v>
      </c>
      <c r="X204" s="6">
        <v>0.38095238095238093</v>
      </c>
      <c r="Y204" s="11">
        <f>VLOOKUP(G204,'[1]historico puntos 2022-2025'!$A$2:$G$19,7,0)</f>
        <v>118</v>
      </c>
      <c r="Z204" t="s">
        <v>38</v>
      </c>
      <c r="AA204">
        <f t="shared" si="11"/>
        <v>202</v>
      </c>
    </row>
    <row r="205" spans="1:27" hidden="1" x14ac:dyDescent="0.3">
      <c r="A205" t="str">
        <f t="shared" si="9"/>
        <v>2024-Pumas</v>
      </c>
      <c r="B205" t="str">
        <f t="shared" si="10"/>
        <v>2024-León</v>
      </c>
      <c r="C205">
        <v>2024</v>
      </c>
      <c r="D205" t="s">
        <v>16</v>
      </c>
      <c r="E205" s="2">
        <v>1</v>
      </c>
      <c r="F205" s="2">
        <v>0</v>
      </c>
      <c r="G205" t="s">
        <v>36</v>
      </c>
      <c r="H205">
        <v>47.6</v>
      </c>
      <c r="I205">
        <v>4.76</v>
      </c>
      <c r="J205">
        <v>14.28</v>
      </c>
      <c r="K205">
        <v>14.28</v>
      </c>
      <c r="L205">
        <v>14.28</v>
      </c>
      <c r="M205" s="6">
        <v>0.5</v>
      </c>
      <c r="N205" s="6">
        <v>0.16666666666666666</v>
      </c>
      <c r="O205" s="6">
        <v>0.33333333333333331</v>
      </c>
      <c r="P205" s="10">
        <v>75</v>
      </c>
      <c r="Q205">
        <v>29.55</v>
      </c>
      <c r="R205">
        <v>2.96</v>
      </c>
      <c r="S205">
        <v>8.8699999999999992</v>
      </c>
      <c r="T205">
        <v>8.8699999999999992</v>
      </c>
      <c r="U205">
        <v>8.8699999999999992</v>
      </c>
      <c r="V205" s="6">
        <v>0.27777777777777779</v>
      </c>
      <c r="W205" s="6">
        <v>0.27777777777777779</v>
      </c>
      <c r="X205" s="6">
        <v>0.44444444444444442</v>
      </c>
      <c r="Y205" s="11">
        <f>VLOOKUP(G205,'[1]historico puntos 2022-2025'!$A$2:$G$19,7,0)</f>
        <v>87</v>
      </c>
      <c r="Z205" t="s">
        <v>38</v>
      </c>
      <c r="AA205">
        <f t="shared" si="11"/>
        <v>203</v>
      </c>
    </row>
    <row r="206" spans="1:27" hidden="1" x14ac:dyDescent="0.3">
      <c r="A206" t="str">
        <f t="shared" si="9"/>
        <v>2024-León</v>
      </c>
      <c r="B206" t="str">
        <f t="shared" si="10"/>
        <v>2024-Querétaro</v>
      </c>
      <c r="C206">
        <v>2024</v>
      </c>
      <c r="D206" t="s">
        <v>36</v>
      </c>
      <c r="E206" s="2">
        <v>0</v>
      </c>
      <c r="F206" s="2">
        <v>2</v>
      </c>
      <c r="G206" t="s">
        <v>22</v>
      </c>
      <c r="H206">
        <v>29.55</v>
      </c>
      <c r="I206">
        <v>2.96</v>
      </c>
      <c r="J206">
        <v>8.8699999999999992</v>
      </c>
      <c r="K206">
        <v>8.8699999999999992</v>
      </c>
      <c r="L206">
        <v>8.8699999999999992</v>
      </c>
      <c r="M206" s="6">
        <v>0.3888888888888889</v>
      </c>
      <c r="N206" s="6">
        <v>0.3888888888888889</v>
      </c>
      <c r="O206" s="6">
        <v>0.22222222222222221</v>
      </c>
      <c r="P206" s="10">
        <v>87</v>
      </c>
      <c r="Q206" t="s">
        <v>37</v>
      </c>
      <c r="R206" t="s">
        <v>37</v>
      </c>
      <c r="S206" t="s">
        <v>37</v>
      </c>
      <c r="T206" t="s">
        <v>37</v>
      </c>
      <c r="U206" t="s">
        <v>37</v>
      </c>
      <c r="V206" s="6">
        <v>0.17647058823529413</v>
      </c>
      <c r="W206" s="6">
        <v>0.17647058823529413</v>
      </c>
      <c r="X206" s="6">
        <v>0.6470588235294118</v>
      </c>
      <c r="Y206" s="11">
        <f>VLOOKUP(G206,'[1]historico puntos 2022-2025'!$A$2:$G$19,7,0)</f>
        <v>64</v>
      </c>
      <c r="Z206" t="s">
        <v>40</v>
      </c>
      <c r="AA206">
        <f t="shared" si="11"/>
        <v>204</v>
      </c>
    </row>
    <row r="207" spans="1:27" hidden="1" x14ac:dyDescent="0.3">
      <c r="A207" t="str">
        <f t="shared" si="9"/>
        <v>2024-Necaxa</v>
      </c>
      <c r="B207" t="str">
        <f t="shared" si="10"/>
        <v>2024-León</v>
      </c>
      <c r="C207">
        <v>2024</v>
      </c>
      <c r="D207" t="s">
        <v>4</v>
      </c>
      <c r="E207" s="2">
        <v>1</v>
      </c>
      <c r="F207" s="2">
        <v>2</v>
      </c>
      <c r="G207" t="s">
        <v>36</v>
      </c>
      <c r="H207">
        <v>38.5</v>
      </c>
      <c r="I207">
        <v>3.85</v>
      </c>
      <c r="J207">
        <v>11.55</v>
      </c>
      <c r="K207">
        <v>11.55</v>
      </c>
      <c r="L207">
        <v>11.55</v>
      </c>
      <c r="M207" s="6">
        <v>0.44444444444444442</v>
      </c>
      <c r="N207" s="6">
        <v>0.22222222222222221</v>
      </c>
      <c r="O207" s="6">
        <v>0.33333333333333331</v>
      </c>
      <c r="P207" s="10">
        <v>77</v>
      </c>
      <c r="Q207">
        <v>29.55</v>
      </c>
      <c r="R207">
        <v>2.96</v>
      </c>
      <c r="S207">
        <v>8.8699999999999992</v>
      </c>
      <c r="T207">
        <v>8.8699999999999992</v>
      </c>
      <c r="U207">
        <v>8.8699999999999992</v>
      </c>
      <c r="V207" s="6">
        <v>0.27777777777777779</v>
      </c>
      <c r="W207" s="6">
        <v>0.27777777777777779</v>
      </c>
      <c r="X207" s="6">
        <v>0.44444444444444442</v>
      </c>
      <c r="Y207" s="11">
        <f>VLOOKUP(G207,'[1]historico puntos 2022-2025'!$A$2:$G$19,7,0)</f>
        <v>87</v>
      </c>
      <c r="Z207" t="s">
        <v>40</v>
      </c>
      <c r="AA207">
        <f t="shared" si="11"/>
        <v>205</v>
      </c>
    </row>
    <row r="208" spans="1:27" hidden="1" x14ac:dyDescent="0.3">
      <c r="A208" t="str">
        <f t="shared" si="9"/>
        <v>2024-León</v>
      </c>
      <c r="B208" t="str">
        <f t="shared" si="10"/>
        <v>2024-Puebla</v>
      </c>
      <c r="C208">
        <v>2024</v>
      </c>
      <c r="D208" t="s">
        <v>36</v>
      </c>
      <c r="E208" s="2">
        <v>2</v>
      </c>
      <c r="F208" s="2">
        <v>1</v>
      </c>
      <c r="G208" t="s">
        <v>1</v>
      </c>
      <c r="H208">
        <v>29.55</v>
      </c>
      <c r="I208">
        <v>2.96</v>
      </c>
      <c r="J208">
        <v>8.8699999999999992</v>
      </c>
      <c r="K208">
        <v>8.8699999999999992</v>
      </c>
      <c r="L208">
        <v>8.8699999999999992</v>
      </c>
      <c r="M208" s="6">
        <v>0.3888888888888889</v>
      </c>
      <c r="N208" s="6">
        <v>0.3888888888888889</v>
      </c>
      <c r="O208" s="6">
        <v>0.22222222222222221</v>
      </c>
      <c r="P208" s="10">
        <v>87</v>
      </c>
      <c r="Q208">
        <v>24.1</v>
      </c>
      <c r="R208">
        <v>2.41</v>
      </c>
      <c r="S208">
        <v>7.23</v>
      </c>
      <c r="T208">
        <v>7.23</v>
      </c>
      <c r="U208">
        <v>7.23</v>
      </c>
      <c r="V208" s="6">
        <v>0.11764705882352941</v>
      </c>
      <c r="W208" s="6">
        <v>0.17647058823529413</v>
      </c>
      <c r="X208" s="6">
        <v>0.70588235294117652</v>
      </c>
      <c r="Y208" s="11">
        <f>VLOOKUP(G208,'[1]historico puntos 2022-2025'!$A$2:$G$19,7,0)</f>
        <v>34</v>
      </c>
      <c r="Z208" t="s">
        <v>38</v>
      </c>
      <c r="AA208">
        <f t="shared" si="11"/>
        <v>206</v>
      </c>
    </row>
    <row r="209" spans="1:27" hidden="1" x14ac:dyDescent="0.3">
      <c r="A209" t="str">
        <f t="shared" si="9"/>
        <v>2024-Chivas</v>
      </c>
      <c r="B209" t="str">
        <f t="shared" si="10"/>
        <v>2024-León</v>
      </c>
      <c r="C209">
        <v>2024</v>
      </c>
      <c r="D209" t="s">
        <v>21</v>
      </c>
      <c r="E209" s="2">
        <v>1</v>
      </c>
      <c r="F209" s="2">
        <v>2</v>
      </c>
      <c r="G209" t="s">
        <v>36</v>
      </c>
      <c r="H209">
        <v>70.2</v>
      </c>
      <c r="I209">
        <v>7.02</v>
      </c>
      <c r="J209">
        <v>21.06</v>
      </c>
      <c r="K209">
        <v>21.06</v>
      </c>
      <c r="L209">
        <v>21.06</v>
      </c>
      <c r="M209" s="6">
        <v>0.44444444444444442</v>
      </c>
      <c r="N209" s="6">
        <v>0.33333333333333331</v>
      </c>
      <c r="O209" s="6">
        <v>0.22222222222222221</v>
      </c>
      <c r="P209" s="10">
        <v>99</v>
      </c>
      <c r="Q209">
        <v>29.55</v>
      </c>
      <c r="R209">
        <v>2.96</v>
      </c>
      <c r="S209">
        <v>8.8699999999999992</v>
      </c>
      <c r="T209">
        <v>8.8699999999999992</v>
      </c>
      <c r="U209">
        <v>8.8699999999999992</v>
      </c>
      <c r="V209" s="6">
        <v>0.27777777777777779</v>
      </c>
      <c r="W209" s="6">
        <v>0.27777777777777779</v>
      </c>
      <c r="X209" s="6">
        <v>0.44444444444444442</v>
      </c>
      <c r="Y209" s="11">
        <f>VLOOKUP(G209,'[1]historico puntos 2022-2025'!$A$2:$G$19,7,0)</f>
        <v>87</v>
      </c>
      <c r="Z209" t="s">
        <v>40</v>
      </c>
      <c r="AA209">
        <f t="shared" si="11"/>
        <v>207</v>
      </c>
    </row>
    <row r="210" spans="1:27" hidden="1" x14ac:dyDescent="0.3">
      <c r="A210" t="str">
        <f t="shared" si="9"/>
        <v>2024-Xolos</v>
      </c>
      <c r="B210" t="str">
        <f t="shared" si="10"/>
        <v>2024-León</v>
      </c>
      <c r="C210">
        <v>2024</v>
      </c>
      <c r="D210" t="s">
        <v>19</v>
      </c>
      <c r="E210" s="2">
        <v>1</v>
      </c>
      <c r="F210" s="2">
        <v>1</v>
      </c>
      <c r="G210" t="s">
        <v>36</v>
      </c>
      <c r="H210" t="s">
        <v>37</v>
      </c>
      <c r="I210" t="s">
        <v>37</v>
      </c>
      <c r="J210" t="s">
        <v>37</v>
      </c>
      <c r="K210" t="s">
        <v>37</v>
      </c>
      <c r="L210" t="s">
        <v>37</v>
      </c>
      <c r="M210" s="6">
        <v>0.55000000000000004</v>
      </c>
      <c r="N210" s="6">
        <v>0.15</v>
      </c>
      <c r="O210" s="6">
        <v>0.3</v>
      </c>
      <c r="P210" s="10">
        <v>49</v>
      </c>
      <c r="Q210">
        <v>29.55</v>
      </c>
      <c r="R210">
        <v>2.96</v>
      </c>
      <c r="S210">
        <v>8.8699999999999992</v>
      </c>
      <c r="T210">
        <v>8.8699999999999992</v>
      </c>
      <c r="U210">
        <v>8.8699999999999992</v>
      </c>
      <c r="V210" s="6">
        <v>0.27777777777777779</v>
      </c>
      <c r="W210" s="6">
        <v>0.27777777777777779</v>
      </c>
      <c r="X210" s="6">
        <v>0.44444444444444442</v>
      </c>
      <c r="Y210" s="11">
        <f>VLOOKUP(G210,'[1]historico puntos 2022-2025'!$A$2:$G$19,7,0)</f>
        <v>87</v>
      </c>
      <c r="Z210" t="s">
        <v>39</v>
      </c>
      <c r="AA210">
        <f t="shared" si="11"/>
        <v>208</v>
      </c>
    </row>
    <row r="211" spans="1:27" hidden="1" x14ac:dyDescent="0.3">
      <c r="A211" t="str">
        <f t="shared" si="9"/>
        <v>2024-León</v>
      </c>
      <c r="B211" t="str">
        <f t="shared" si="10"/>
        <v>2024-Cruz Azul</v>
      </c>
      <c r="C211">
        <v>2024</v>
      </c>
      <c r="D211" t="s">
        <v>36</v>
      </c>
      <c r="E211" s="2">
        <v>2</v>
      </c>
      <c r="F211" s="2">
        <v>3</v>
      </c>
      <c r="G211" t="s">
        <v>10</v>
      </c>
      <c r="H211">
        <v>29.55</v>
      </c>
      <c r="I211">
        <v>2.96</v>
      </c>
      <c r="J211">
        <v>8.8699999999999992</v>
      </c>
      <c r="K211">
        <v>8.8699999999999992</v>
      </c>
      <c r="L211">
        <v>8.8699999999999992</v>
      </c>
      <c r="M211" s="6">
        <v>0.3888888888888889</v>
      </c>
      <c r="N211" s="6">
        <v>0.3888888888888889</v>
      </c>
      <c r="O211" s="6">
        <v>0.22222222222222221</v>
      </c>
      <c r="P211" s="10">
        <v>87</v>
      </c>
      <c r="Q211">
        <v>78.849999999999994</v>
      </c>
      <c r="R211">
        <v>7.89</v>
      </c>
      <c r="S211">
        <v>23.66</v>
      </c>
      <c r="T211">
        <v>23.66</v>
      </c>
      <c r="U211">
        <v>23.66</v>
      </c>
      <c r="V211" s="6">
        <v>0.52380952380952384</v>
      </c>
      <c r="W211" s="6">
        <v>0.23809523809523808</v>
      </c>
      <c r="X211" s="6">
        <v>0.23809523809523808</v>
      </c>
      <c r="Y211" s="11">
        <f>VLOOKUP(G211,'[1]historico puntos 2022-2025'!$A$2:$G$19,7,0)</f>
        <v>107</v>
      </c>
      <c r="Z211" t="s">
        <v>40</v>
      </c>
      <c r="AA211">
        <f t="shared" si="11"/>
        <v>209</v>
      </c>
    </row>
    <row r="212" spans="1:27" hidden="1" x14ac:dyDescent="0.3">
      <c r="A212" t="str">
        <f t="shared" si="9"/>
        <v>2024-Atlas</v>
      </c>
      <c r="B212" t="str">
        <f t="shared" si="10"/>
        <v>2024-León</v>
      </c>
      <c r="C212">
        <v>2024</v>
      </c>
      <c r="D212" t="s">
        <v>5</v>
      </c>
      <c r="E212" s="2">
        <v>0</v>
      </c>
      <c r="F212" s="2">
        <v>1</v>
      </c>
      <c r="G212" t="s">
        <v>36</v>
      </c>
      <c r="H212">
        <v>28.95</v>
      </c>
      <c r="I212">
        <v>2.9</v>
      </c>
      <c r="J212">
        <v>8.68</v>
      </c>
      <c r="K212">
        <v>8.68</v>
      </c>
      <c r="L212">
        <v>8.68</v>
      </c>
      <c r="M212" s="6" t="s">
        <v>37</v>
      </c>
      <c r="N212" s="6" t="s">
        <v>37</v>
      </c>
      <c r="O212" s="6" t="s">
        <v>37</v>
      </c>
      <c r="P212" s="10">
        <v>60</v>
      </c>
      <c r="Q212">
        <v>29.55</v>
      </c>
      <c r="R212">
        <v>2.96</v>
      </c>
      <c r="S212">
        <v>8.8699999999999992</v>
      </c>
      <c r="T212">
        <v>8.8699999999999992</v>
      </c>
      <c r="U212">
        <v>8.8699999999999992</v>
      </c>
      <c r="V212" s="6">
        <v>0.27777777777777779</v>
      </c>
      <c r="W212" s="6">
        <v>0.27777777777777779</v>
      </c>
      <c r="X212" s="6">
        <v>0.44444444444444442</v>
      </c>
      <c r="Y212" s="11">
        <f>VLOOKUP(G212,'[1]historico puntos 2022-2025'!$A$2:$G$19,7,0)</f>
        <v>87</v>
      </c>
      <c r="Z212" t="s">
        <v>40</v>
      </c>
      <c r="AA212">
        <f t="shared" si="11"/>
        <v>210</v>
      </c>
    </row>
    <row r="213" spans="1:27" hidden="1" x14ac:dyDescent="0.3">
      <c r="A213" t="str">
        <f t="shared" si="9"/>
        <v>2024-León</v>
      </c>
      <c r="B213" t="str">
        <f t="shared" si="10"/>
        <v>2024-América</v>
      </c>
      <c r="C213">
        <v>2024</v>
      </c>
      <c r="D213" t="s">
        <v>36</v>
      </c>
      <c r="E213" s="2">
        <v>0</v>
      </c>
      <c r="F213" s="2">
        <v>1</v>
      </c>
      <c r="G213" t="s">
        <v>14</v>
      </c>
      <c r="H213">
        <v>29.55</v>
      </c>
      <c r="I213">
        <v>2.96</v>
      </c>
      <c r="J213">
        <v>8.8699999999999992</v>
      </c>
      <c r="K213">
        <v>8.8699999999999992</v>
      </c>
      <c r="L213">
        <v>8.8699999999999992</v>
      </c>
      <c r="M213" s="6">
        <v>0.3888888888888889</v>
      </c>
      <c r="N213" s="6">
        <v>0.3888888888888889</v>
      </c>
      <c r="O213" s="6">
        <v>0.22222222222222221</v>
      </c>
      <c r="P213" s="10">
        <v>87</v>
      </c>
      <c r="Q213">
        <v>92.45</v>
      </c>
      <c r="R213">
        <v>9.25</v>
      </c>
      <c r="S213">
        <v>27.73</v>
      </c>
      <c r="T213">
        <v>27.73</v>
      </c>
      <c r="U213">
        <v>27.73</v>
      </c>
      <c r="V213" s="6">
        <v>0.375</v>
      </c>
      <c r="W213" s="6">
        <v>0.29166666666666669</v>
      </c>
      <c r="X213" s="6">
        <v>0.33333333333333331</v>
      </c>
      <c r="Y213" s="11">
        <f>VLOOKUP(G213,'[1]historico puntos 2022-2025'!$A$2:$G$19,7,0)</f>
        <v>133</v>
      </c>
      <c r="Z213" t="s">
        <v>40</v>
      </c>
      <c r="AA213">
        <f t="shared" si="11"/>
        <v>211</v>
      </c>
    </row>
    <row r="214" spans="1:27" hidden="1" x14ac:dyDescent="0.3">
      <c r="A214" t="str">
        <f t="shared" si="9"/>
        <v>2024-Pachuca</v>
      </c>
      <c r="B214" t="str">
        <f t="shared" si="10"/>
        <v>2024-León</v>
      </c>
      <c r="C214">
        <v>2024</v>
      </c>
      <c r="D214" t="s">
        <v>0</v>
      </c>
      <c r="E214" s="2">
        <v>3</v>
      </c>
      <c r="F214" s="2">
        <v>2</v>
      </c>
      <c r="G214" t="s">
        <v>36</v>
      </c>
      <c r="H214">
        <v>56.6</v>
      </c>
      <c r="I214">
        <v>5.66</v>
      </c>
      <c r="J214">
        <v>16.98</v>
      </c>
      <c r="K214">
        <v>16.98</v>
      </c>
      <c r="L214">
        <v>16.98</v>
      </c>
      <c r="M214" s="6">
        <v>0.3888888888888889</v>
      </c>
      <c r="N214" s="6">
        <v>0.33333333333333331</v>
      </c>
      <c r="O214" s="6">
        <v>0.27777777777777779</v>
      </c>
      <c r="P214" s="10">
        <v>98</v>
      </c>
      <c r="Q214">
        <v>29.55</v>
      </c>
      <c r="R214">
        <v>2.96</v>
      </c>
      <c r="S214">
        <v>8.8699999999999992</v>
      </c>
      <c r="T214">
        <v>8.8699999999999992</v>
      </c>
      <c r="U214">
        <v>8.8699999999999992</v>
      </c>
      <c r="V214" s="6">
        <v>0.27777777777777779</v>
      </c>
      <c r="W214" s="6">
        <v>0.27777777777777779</v>
      </c>
      <c r="X214" s="6">
        <v>0.44444444444444442</v>
      </c>
      <c r="Y214" s="11">
        <f>VLOOKUP(G214,'[1]historico puntos 2022-2025'!$A$2:$G$19,7,0)</f>
        <v>87</v>
      </c>
      <c r="Z214" t="s">
        <v>38</v>
      </c>
      <c r="AA214">
        <f t="shared" si="11"/>
        <v>212</v>
      </c>
    </row>
    <row r="215" spans="1:27" hidden="1" x14ac:dyDescent="0.3">
      <c r="A215" t="str">
        <f t="shared" si="9"/>
        <v>2024-Toluca</v>
      </c>
      <c r="B215" t="str">
        <f t="shared" si="10"/>
        <v>2024-León</v>
      </c>
      <c r="C215">
        <v>2024</v>
      </c>
      <c r="D215" t="s">
        <v>2</v>
      </c>
      <c r="E215" s="2">
        <v>4</v>
      </c>
      <c r="F215" s="2">
        <v>1</v>
      </c>
      <c r="G215" t="s">
        <v>36</v>
      </c>
      <c r="H215">
        <v>77.45</v>
      </c>
      <c r="I215">
        <v>7.75</v>
      </c>
      <c r="J215">
        <v>23.24</v>
      </c>
      <c r="K215">
        <v>23.24</v>
      </c>
      <c r="L215">
        <v>23.24</v>
      </c>
      <c r="M215" s="6">
        <v>0.76190476190476186</v>
      </c>
      <c r="N215" s="6">
        <v>0.19047619047619047</v>
      </c>
      <c r="O215" s="6">
        <v>4.7619047619047616E-2</v>
      </c>
      <c r="P215" s="10">
        <v>118</v>
      </c>
      <c r="Q215">
        <v>29.55</v>
      </c>
      <c r="R215">
        <v>2.96</v>
      </c>
      <c r="S215">
        <v>8.8699999999999992</v>
      </c>
      <c r="T215">
        <v>8.8699999999999992</v>
      </c>
      <c r="U215">
        <v>8.8699999999999992</v>
      </c>
      <c r="V215" s="6">
        <v>0.27777777777777779</v>
      </c>
      <c r="W215" s="6">
        <v>0.27777777777777779</v>
      </c>
      <c r="X215" s="6">
        <v>0.44444444444444442</v>
      </c>
      <c r="Y215" s="11">
        <f>VLOOKUP(G215,'[1]historico puntos 2022-2025'!$A$2:$G$19,7,0)</f>
        <v>87</v>
      </c>
      <c r="Z215" t="s">
        <v>38</v>
      </c>
      <c r="AA215">
        <f t="shared" si="11"/>
        <v>213</v>
      </c>
    </row>
    <row r="216" spans="1:27" hidden="1" x14ac:dyDescent="0.3">
      <c r="A216" t="str">
        <f t="shared" si="9"/>
        <v>2024-Mazatlán</v>
      </c>
      <c r="B216" t="str">
        <f t="shared" si="10"/>
        <v>2024-León</v>
      </c>
      <c r="C216">
        <v>2024</v>
      </c>
      <c r="D216" t="s">
        <v>20</v>
      </c>
      <c r="E216" s="2">
        <v>2</v>
      </c>
      <c r="F216" s="2">
        <v>2</v>
      </c>
      <c r="G216" t="s">
        <v>36</v>
      </c>
      <c r="H216">
        <v>31.45</v>
      </c>
      <c r="I216">
        <v>3.15</v>
      </c>
      <c r="J216">
        <v>9.44</v>
      </c>
      <c r="K216">
        <v>9.44</v>
      </c>
      <c r="L216">
        <v>9.44</v>
      </c>
      <c r="M216" s="6">
        <v>0.29411764705882354</v>
      </c>
      <c r="N216" s="6">
        <v>0.47058823529411764</v>
      </c>
      <c r="O216" s="6">
        <v>0.23529411764705882</v>
      </c>
      <c r="P216" s="10">
        <v>40</v>
      </c>
      <c r="Q216">
        <v>29.55</v>
      </c>
      <c r="R216">
        <v>2.96</v>
      </c>
      <c r="S216">
        <v>8.8699999999999992</v>
      </c>
      <c r="T216">
        <v>8.8699999999999992</v>
      </c>
      <c r="U216">
        <v>8.8699999999999992</v>
      </c>
      <c r="V216" s="6">
        <v>0.27777777777777779</v>
      </c>
      <c r="W216" s="6">
        <v>0.27777777777777779</v>
      </c>
      <c r="X216" s="6">
        <v>0.44444444444444442</v>
      </c>
      <c r="Y216" s="11">
        <f>VLOOKUP(G216,'[1]historico puntos 2022-2025'!$A$2:$G$19,7,0)</f>
        <v>87</v>
      </c>
      <c r="Z216" t="s">
        <v>39</v>
      </c>
      <c r="AA216">
        <f t="shared" si="11"/>
        <v>214</v>
      </c>
    </row>
    <row r="217" spans="1:27" hidden="1" x14ac:dyDescent="0.3">
      <c r="A217" t="str">
        <f t="shared" si="9"/>
        <v>2024-León</v>
      </c>
      <c r="B217" t="str">
        <f t="shared" si="10"/>
        <v>2024-Santos Laguna</v>
      </c>
      <c r="C217">
        <v>2024</v>
      </c>
      <c r="D217" t="s">
        <v>36</v>
      </c>
      <c r="E217" s="2">
        <v>3</v>
      </c>
      <c r="F217" s="2">
        <v>2</v>
      </c>
      <c r="G217" t="s">
        <v>11</v>
      </c>
      <c r="H217">
        <v>29.55</v>
      </c>
      <c r="I217">
        <v>2.96</v>
      </c>
      <c r="J217">
        <v>8.8699999999999992</v>
      </c>
      <c r="K217">
        <v>8.8699999999999992</v>
      </c>
      <c r="L217">
        <v>8.8699999999999992</v>
      </c>
      <c r="M217" s="6">
        <v>0.3888888888888889</v>
      </c>
      <c r="N217" s="6">
        <v>0.3888888888888889</v>
      </c>
      <c r="O217" s="6">
        <v>0.22222222222222221</v>
      </c>
      <c r="P217" s="10">
        <v>87</v>
      </c>
      <c r="Q217" t="s">
        <v>37</v>
      </c>
      <c r="R217" t="s">
        <v>37</v>
      </c>
      <c r="S217" t="s">
        <v>37</v>
      </c>
      <c r="T217" t="s">
        <v>37</v>
      </c>
      <c r="U217" t="s">
        <v>37</v>
      </c>
      <c r="V217" s="6">
        <v>0</v>
      </c>
      <c r="W217" s="6">
        <v>0.11764705882352941</v>
      </c>
      <c r="X217" s="6">
        <v>0.88235294117647056</v>
      </c>
      <c r="Y217" s="11">
        <f>VLOOKUP(G217,'[1]historico puntos 2022-2025'!$A$2:$G$19,7,0)</f>
        <v>46</v>
      </c>
      <c r="Z217" t="s">
        <v>38</v>
      </c>
      <c r="AA217">
        <f t="shared" si="11"/>
        <v>215</v>
      </c>
    </row>
    <row r="218" spans="1:27" hidden="1" x14ac:dyDescent="0.3">
      <c r="A218" t="str">
        <f t="shared" si="9"/>
        <v>2024-León</v>
      </c>
      <c r="B218" t="str">
        <f t="shared" si="10"/>
        <v>2024-Tigres</v>
      </c>
      <c r="C218">
        <v>2024</v>
      </c>
      <c r="D218" t="s">
        <v>36</v>
      </c>
      <c r="E218" s="2">
        <v>1</v>
      </c>
      <c r="F218" s="2">
        <v>2</v>
      </c>
      <c r="G218" t="s">
        <v>17</v>
      </c>
      <c r="H218">
        <v>29.55</v>
      </c>
      <c r="I218">
        <v>2.96</v>
      </c>
      <c r="J218">
        <v>8.8699999999999992</v>
      </c>
      <c r="K218">
        <v>8.8699999999999992</v>
      </c>
      <c r="L218">
        <v>8.8699999999999992</v>
      </c>
      <c r="M218" s="6">
        <v>0.3888888888888889</v>
      </c>
      <c r="N218" s="6">
        <v>0.3888888888888889</v>
      </c>
      <c r="O218" s="6">
        <v>0.22222222222222221</v>
      </c>
      <c r="P218" s="10">
        <v>87</v>
      </c>
      <c r="Q218" t="s">
        <v>37</v>
      </c>
      <c r="R218" t="s">
        <v>37</v>
      </c>
      <c r="S218" t="s">
        <v>37</v>
      </c>
      <c r="T218" t="s">
        <v>37</v>
      </c>
      <c r="U218" t="s">
        <v>37</v>
      </c>
      <c r="V218" s="6">
        <v>0.3</v>
      </c>
      <c r="W218" s="6">
        <v>0.3</v>
      </c>
      <c r="X218" s="6">
        <v>0.4</v>
      </c>
      <c r="Y218" s="11">
        <f>VLOOKUP(G218,'[1]historico puntos 2022-2025'!$A$2:$G$19,7,0)</f>
        <v>107</v>
      </c>
      <c r="Z218" t="s">
        <v>40</v>
      </c>
      <c r="AA218">
        <f t="shared" si="11"/>
        <v>216</v>
      </c>
    </row>
    <row r="219" spans="1:27" hidden="1" x14ac:dyDescent="0.3">
      <c r="A219" t="str">
        <f t="shared" si="9"/>
        <v>2023-América</v>
      </c>
      <c r="B219" t="str">
        <f t="shared" si="10"/>
        <v>2023-León</v>
      </c>
      <c r="C219">
        <v>2023</v>
      </c>
      <c r="D219" t="s">
        <v>14</v>
      </c>
      <c r="E219" s="2">
        <v>2</v>
      </c>
      <c r="F219" s="2">
        <v>0</v>
      </c>
      <c r="G219" t="s">
        <v>36</v>
      </c>
      <c r="H219">
        <v>84.2</v>
      </c>
      <c r="I219">
        <v>8.42</v>
      </c>
      <c r="J219">
        <v>25.26</v>
      </c>
      <c r="K219">
        <v>25.26</v>
      </c>
      <c r="L219">
        <v>25.26</v>
      </c>
      <c r="M219" s="6">
        <v>0.65217391304347827</v>
      </c>
      <c r="N219" s="6">
        <v>0.21739130434782608</v>
      </c>
      <c r="O219" s="6">
        <v>0.13043478260869565</v>
      </c>
      <c r="P219" s="10">
        <v>133</v>
      </c>
      <c r="Q219">
        <v>41.5</v>
      </c>
      <c r="R219">
        <v>4.1500000000000004</v>
      </c>
      <c r="S219">
        <v>12.45</v>
      </c>
      <c r="T219">
        <v>12.45</v>
      </c>
      <c r="U219">
        <v>12.45</v>
      </c>
      <c r="V219" s="6">
        <v>0.27777777777777779</v>
      </c>
      <c r="W219" s="6">
        <v>0.27777777777777779</v>
      </c>
      <c r="X219" s="6">
        <v>0.44444444444444442</v>
      </c>
      <c r="Y219" s="11">
        <f>VLOOKUP(G219,'[1]historico puntos 2022-2025'!$A$2:$G$19,7,0)</f>
        <v>87</v>
      </c>
      <c r="Z219" t="s">
        <v>38</v>
      </c>
      <c r="AA219">
        <f t="shared" si="11"/>
        <v>217</v>
      </c>
    </row>
    <row r="220" spans="1:27" hidden="1" x14ac:dyDescent="0.3">
      <c r="A220" t="str">
        <f t="shared" si="9"/>
        <v>2023-León</v>
      </c>
      <c r="B220" t="str">
        <f t="shared" si="10"/>
        <v>2023-América</v>
      </c>
      <c r="C220">
        <v>2023</v>
      </c>
      <c r="D220" t="s">
        <v>36</v>
      </c>
      <c r="E220" s="2">
        <v>2</v>
      </c>
      <c r="F220" s="2">
        <v>2</v>
      </c>
      <c r="G220" t="s">
        <v>14</v>
      </c>
      <c r="H220">
        <v>41.5</v>
      </c>
      <c r="I220">
        <v>4.1500000000000004</v>
      </c>
      <c r="J220">
        <v>12.45</v>
      </c>
      <c r="K220">
        <v>12.45</v>
      </c>
      <c r="L220">
        <v>12.45</v>
      </c>
      <c r="M220" s="6">
        <v>0.3888888888888889</v>
      </c>
      <c r="N220" s="6">
        <v>0.3888888888888889</v>
      </c>
      <c r="O220" s="6">
        <v>0.22222222222222221</v>
      </c>
      <c r="P220" s="10">
        <v>87</v>
      </c>
      <c r="Q220">
        <v>84.2</v>
      </c>
      <c r="R220">
        <v>8.42</v>
      </c>
      <c r="S220">
        <v>25.26</v>
      </c>
      <c r="T220">
        <v>25.26</v>
      </c>
      <c r="U220">
        <v>25.26</v>
      </c>
      <c r="V220" s="6">
        <v>0.375</v>
      </c>
      <c r="W220" s="6">
        <v>0.29166666666666669</v>
      </c>
      <c r="X220" s="6">
        <v>0.33333333333333331</v>
      </c>
      <c r="Y220" s="11">
        <f>VLOOKUP(G220,'[1]historico puntos 2022-2025'!$A$2:$G$19,7,0)</f>
        <v>133</v>
      </c>
      <c r="Z220" t="s">
        <v>39</v>
      </c>
      <c r="AA220">
        <f t="shared" si="11"/>
        <v>218</v>
      </c>
    </row>
    <row r="221" spans="1:27" hidden="1" x14ac:dyDescent="0.3">
      <c r="A221" t="str">
        <f t="shared" si="9"/>
        <v>2023-Atlético San Luis</v>
      </c>
      <c r="B221" t="str">
        <f t="shared" si="10"/>
        <v>2023-León</v>
      </c>
      <c r="C221">
        <v>2023</v>
      </c>
      <c r="D221" t="s">
        <v>15</v>
      </c>
      <c r="E221" s="2">
        <v>3</v>
      </c>
      <c r="F221" s="2">
        <v>2</v>
      </c>
      <c r="G221" t="s">
        <v>36</v>
      </c>
      <c r="H221">
        <v>35.85</v>
      </c>
      <c r="I221">
        <v>3.59</v>
      </c>
      <c r="J221">
        <v>10.77</v>
      </c>
      <c r="K221">
        <v>10.77</v>
      </c>
      <c r="L221">
        <v>10.77</v>
      </c>
      <c r="M221" s="6">
        <v>0.68421052631578949</v>
      </c>
      <c r="N221" s="6">
        <v>5.2631578947368418E-2</v>
      </c>
      <c r="O221" s="6">
        <v>0.26315789473684209</v>
      </c>
      <c r="P221" s="10">
        <v>59</v>
      </c>
      <c r="Q221">
        <v>41.5</v>
      </c>
      <c r="R221">
        <v>4.1500000000000004</v>
      </c>
      <c r="S221">
        <v>12.45</v>
      </c>
      <c r="T221">
        <v>12.45</v>
      </c>
      <c r="U221">
        <v>12.45</v>
      </c>
      <c r="V221" s="6">
        <v>0.27777777777777779</v>
      </c>
      <c r="W221" s="6">
        <v>0.27777777777777779</v>
      </c>
      <c r="X221" s="6">
        <v>0.44444444444444442</v>
      </c>
      <c r="Y221" s="11">
        <f>VLOOKUP(G221,'[1]historico puntos 2022-2025'!$A$2:$G$19,7,0)</f>
        <v>87</v>
      </c>
      <c r="Z221" t="s">
        <v>38</v>
      </c>
      <c r="AA221">
        <f t="shared" si="11"/>
        <v>219</v>
      </c>
    </row>
    <row r="222" spans="1:27" hidden="1" x14ac:dyDescent="0.3">
      <c r="A222" t="str">
        <f t="shared" si="9"/>
        <v>2023-León</v>
      </c>
      <c r="B222" t="str">
        <f t="shared" si="10"/>
        <v>2023-Juarez</v>
      </c>
      <c r="C222" s="1">
        <v>2023</v>
      </c>
      <c r="D222" t="s">
        <v>36</v>
      </c>
      <c r="E222" s="2">
        <v>2</v>
      </c>
      <c r="F222" s="2">
        <v>1</v>
      </c>
      <c r="G222" t="s">
        <v>18</v>
      </c>
      <c r="H222">
        <v>41.5</v>
      </c>
      <c r="I222">
        <v>4.1500000000000004</v>
      </c>
      <c r="J222">
        <v>12.45</v>
      </c>
      <c r="K222">
        <v>12.45</v>
      </c>
      <c r="L222">
        <v>12.45</v>
      </c>
      <c r="M222" s="6">
        <v>0.3888888888888889</v>
      </c>
      <c r="N222" s="6">
        <v>0.3888888888888889</v>
      </c>
      <c r="O222" s="6">
        <v>0.22222222222222221</v>
      </c>
      <c r="P222" s="10">
        <v>87</v>
      </c>
      <c r="Q222" t="s">
        <v>37</v>
      </c>
      <c r="R222" t="s">
        <v>37</v>
      </c>
      <c r="S222" t="s">
        <v>37</v>
      </c>
      <c r="T222" t="s">
        <v>37</v>
      </c>
      <c r="U222" t="s">
        <v>37</v>
      </c>
      <c r="V222" s="6">
        <v>0.35294117647058826</v>
      </c>
      <c r="W222" s="6">
        <v>0.17647058823529413</v>
      </c>
      <c r="X222" s="6">
        <v>0.47058823529411764</v>
      </c>
      <c r="Y222" s="11">
        <f>VLOOKUP(G222,'[1]historico puntos 2022-2025'!$A$2:$G$19,7,0)</f>
        <v>55</v>
      </c>
      <c r="Z222" t="s">
        <v>38</v>
      </c>
      <c r="AA222">
        <f t="shared" si="11"/>
        <v>220</v>
      </c>
    </row>
    <row r="223" spans="1:27" hidden="1" x14ac:dyDescent="0.3">
      <c r="A223" t="str">
        <f t="shared" si="9"/>
        <v>2023-Puebla</v>
      </c>
      <c r="B223" t="str">
        <f t="shared" si="10"/>
        <v>2023-León</v>
      </c>
      <c r="C223">
        <v>2023</v>
      </c>
      <c r="D223" t="s">
        <v>1</v>
      </c>
      <c r="E223" s="2">
        <v>5</v>
      </c>
      <c r="F223" s="2">
        <v>4</v>
      </c>
      <c r="G223" t="s">
        <v>36</v>
      </c>
      <c r="H223">
        <v>26.7</v>
      </c>
      <c r="I223">
        <v>2.67</v>
      </c>
      <c r="J223">
        <v>8.01</v>
      </c>
      <c r="K223">
        <v>8.01</v>
      </c>
      <c r="L223">
        <v>8.01</v>
      </c>
      <c r="M223" s="6">
        <v>0.23529411764705882</v>
      </c>
      <c r="N223" s="6">
        <v>0.11764705882352941</v>
      </c>
      <c r="O223" s="6">
        <v>0.6470588235294118</v>
      </c>
      <c r="P223" s="10">
        <v>34</v>
      </c>
      <c r="Q223">
        <v>41.5</v>
      </c>
      <c r="R223">
        <v>4.1500000000000004</v>
      </c>
      <c r="S223">
        <v>12.45</v>
      </c>
      <c r="T223">
        <v>12.45</v>
      </c>
      <c r="U223">
        <v>12.45</v>
      </c>
      <c r="V223" s="6">
        <v>0.27777777777777779</v>
      </c>
      <c r="W223" s="6">
        <v>0.27777777777777779</v>
      </c>
      <c r="X223" s="6">
        <v>0.44444444444444442</v>
      </c>
      <c r="Y223" s="11">
        <f>VLOOKUP(G223,'[1]historico puntos 2022-2025'!$A$2:$G$19,7,0)</f>
        <v>87</v>
      </c>
      <c r="Z223" t="s">
        <v>38</v>
      </c>
      <c r="AA223">
        <f t="shared" si="11"/>
        <v>221</v>
      </c>
    </row>
    <row r="224" spans="1:27" hidden="1" x14ac:dyDescent="0.3">
      <c r="A224" t="str">
        <f t="shared" si="9"/>
        <v>2023-León</v>
      </c>
      <c r="B224" t="str">
        <f t="shared" si="10"/>
        <v>2023-Pumas</v>
      </c>
      <c r="C224">
        <v>2023</v>
      </c>
      <c r="D224" t="s">
        <v>36</v>
      </c>
      <c r="E224" s="2">
        <v>1</v>
      </c>
      <c r="F224" s="2">
        <v>1</v>
      </c>
      <c r="G224" t="s">
        <v>16</v>
      </c>
      <c r="H224">
        <v>41.5</v>
      </c>
      <c r="I224">
        <v>4.1500000000000004</v>
      </c>
      <c r="J224">
        <v>12.45</v>
      </c>
      <c r="K224">
        <v>12.45</v>
      </c>
      <c r="L224">
        <v>12.45</v>
      </c>
      <c r="M224" s="6">
        <v>0.3888888888888889</v>
      </c>
      <c r="N224" s="6">
        <v>0.3888888888888889</v>
      </c>
      <c r="O224" s="6">
        <v>0.22222222222222221</v>
      </c>
      <c r="P224" s="10">
        <v>87</v>
      </c>
      <c r="Q224" t="s">
        <v>37</v>
      </c>
      <c r="R224" t="s">
        <v>37</v>
      </c>
      <c r="S224" t="s">
        <v>37</v>
      </c>
      <c r="T224" t="s">
        <v>37</v>
      </c>
      <c r="U224" t="s">
        <v>37</v>
      </c>
      <c r="V224" s="6">
        <v>0.3</v>
      </c>
      <c r="W224" s="6">
        <v>0.25</v>
      </c>
      <c r="X224" s="6">
        <v>0.45</v>
      </c>
      <c r="Y224" s="11">
        <f>VLOOKUP(G224,'[1]historico puntos 2022-2025'!$A$2:$G$19,7,0)</f>
        <v>75</v>
      </c>
      <c r="Z224" t="s">
        <v>39</v>
      </c>
      <c r="AA224">
        <f t="shared" si="11"/>
        <v>222</v>
      </c>
    </row>
    <row r="225" spans="1:27" hidden="1" x14ac:dyDescent="0.3">
      <c r="A225" t="str">
        <f t="shared" si="9"/>
        <v>2023-Cruz Azul</v>
      </c>
      <c r="B225" t="str">
        <f t="shared" si="10"/>
        <v>2023-León</v>
      </c>
      <c r="C225">
        <v>2023</v>
      </c>
      <c r="D225" t="s">
        <v>10</v>
      </c>
      <c r="E225" s="2">
        <v>1</v>
      </c>
      <c r="F225" s="2">
        <v>0</v>
      </c>
      <c r="G225" t="s">
        <v>36</v>
      </c>
      <c r="H225">
        <v>72.2</v>
      </c>
      <c r="I225">
        <v>7.22</v>
      </c>
      <c r="J225">
        <v>21.66</v>
      </c>
      <c r="K225">
        <v>21.66</v>
      </c>
      <c r="L225">
        <v>21.66</v>
      </c>
      <c r="M225" s="6">
        <v>0.7142857142857143</v>
      </c>
      <c r="N225" s="6">
        <v>0.23809523809523808</v>
      </c>
      <c r="O225" s="6">
        <v>4.7619047619047616E-2</v>
      </c>
      <c r="P225" s="10">
        <v>107</v>
      </c>
      <c r="Q225">
        <v>41.5</v>
      </c>
      <c r="R225">
        <v>4.1500000000000004</v>
      </c>
      <c r="S225">
        <v>12.45</v>
      </c>
      <c r="T225">
        <v>12.45</v>
      </c>
      <c r="U225">
        <v>12.45</v>
      </c>
      <c r="V225" s="6">
        <v>0.27777777777777779</v>
      </c>
      <c r="W225" s="6">
        <v>0.27777777777777779</v>
      </c>
      <c r="X225" s="6">
        <v>0.44444444444444442</v>
      </c>
      <c r="Y225" s="11">
        <f>VLOOKUP(G225,'[1]historico puntos 2022-2025'!$A$2:$G$19,7,0)</f>
        <v>87</v>
      </c>
      <c r="Z225" t="s">
        <v>38</v>
      </c>
      <c r="AA225">
        <f t="shared" si="11"/>
        <v>223</v>
      </c>
    </row>
    <row r="226" spans="1:27" hidden="1" x14ac:dyDescent="0.3">
      <c r="A226" t="str">
        <f t="shared" si="9"/>
        <v>2023-León</v>
      </c>
      <c r="B226" t="str">
        <f t="shared" si="10"/>
        <v>2023-Atlas</v>
      </c>
      <c r="C226">
        <v>2023</v>
      </c>
      <c r="D226" t="s">
        <v>36</v>
      </c>
      <c r="E226" s="2">
        <v>1</v>
      </c>
      <c r="F226" s="2">
        <v>1</v>
      </c>
      <c r="G226" t="s">
        <v>5</v>
      </c>
      <c r="H226">
        <v>41.5</v>
      </c>
      <c r="I226">
        <v>4.1500000000000004</v>
      </c>
      <c r="J226">
        <v>12.45</v>
      </c>
      <c r="K226">
        <v>12.45</v>
      </c>
      <c r="L226">
        <v>12.45</v>
      </c>
      <c r="M226" s="6">
        <v>0.3888888888888889</v>
      </c>
      <c r="N226" s="6">
        <v>0.3888888888888889</v>
      </c>
      <c r="O226" s="6">
        <v>0.22222222222222221</v>
      </c>
      <c r="P226" s="10">
        <v>87</v>
      </c>
      <c r="Q226">
        <v>30.7</v>
      </c>
      <c r="R226">
        <v>3.07</v>
      </c>
      <c r="S226">
        <v>9.2100000000000009</v>
      </c>
      <c r="T226">
        <v>9.2100000000000009</v>
      </c>
      <c r="U226">
        <v>9.2100000000000009</v>
      </c>
      <c r="V226" s="6">
        <v>0.26315789473684209</v>
      </c>
      <c r="W226" s="6">
        <v>0.31578947368421051</v>
      </c>
      <c r="X226" s="6">
        <v>0.42105263157894735</v>
      </c>
      <c r="Y226" s="11">
        <f>VLOOKUP(G226,'[1]historico puntos 2022-2025'!$A$2:$G$19,7,0)</f>
        <v>60</v>
      </c>
      <c r="Z226" t="s">
        <v>39</v>
      </c>
      <c r="AA226">
        <f t="shared" si="11"/>
        <v>224</v>
      </c>
    </row>
    <row r="227" spans="1:27" hidden="1" x14ac:dyDescent="0.3">
      <c r="A227" t="str">
        <f t="shared" si="9"/>
        <v>2023-León</v>
      </c>
      <c r="B227" t="str">
        <f t="shared" si="10"/>
        <v>2023-Toluca</v>
      </c>
      <c r="C227">
        <v>2023</v>
      </c>
      <c r="D227" t="s">
        <v>36</v>
      </c>
      <c r="E227" s="2">
        <v>1</v>
      </c>
      <c r="F227" s="2">
        <v>0</v>
      </c>
      <c r="G227" t="s">
        <v>2</v>
      </c>
      <c r="H227">
        <v>41.5</v>
      </c>
      <c r="I227">
        <v>4.1500000000000004</v>
      </c>
      <c r="J227">
        <v>12.45</v>
      </c>
      <c r="K227">
        <v>12.45</v>
      </c>
      <c r="L227">
        <v>12.45</v>
      </c>
      <c r="M227" s="6">
        <v>0.3888888888888889</v>
      </c>
      <c r="N227" s="6">
        <v>0.3888888888888889</v>
      </c>
      <c r="O227" s="6">
        <v>0.22222222222222221</v>
      </c>
      <c r="P227" s="10">
        <v>87</v>
      </c>
      <c r="Q227">
        <v>66.2</v>
      </c>
      <c r="R227">
        <v>6.62</v>
      </c>
      <c r="S227">
        <v>19.86</v>
      </c>
      <c r="T227">
        <v>19.86</v>
      </c>
      <c r="U227">
        <v>19.86</v>
      </c>
      <c r="V227" s="6">
        <v>0.38095238095238093</v>
      </c>
      <c r="W227" s="6">
        <v>0.33333333333333331</v>
      </c>
      <c r="X227" s="6">
        <v>0.2857142857142857</v>
      </c>
      <c r="Y227" s="11">
        <f>VLOOKUP(G227,'[1]historico puntos 2022-2025'!$A$2:$G$19,7,0)</f>
        <v>118</v>
      </c>
      <c r="Z227" t="s">
        <v>38</v>
      </c>
      <c r="AA227">
        <f t="shared" si="11"/>
        <v>225</v>
      </c>
    </row>
    <row r="228" spans="1:27" hidden="1" x14ac:dyDescent="0.3">
      <c r="A228" t="str">
        <f t="shared" si="9"/>
        <v>2023-Querétaro</v>
      </c>
      <c r="B228" t="str">
        <f t="shared" si="10"/>
        <v>2023-León</v>
      </c>
      <c r="C228">
        <v>2023</v>
      </c>
      <c r="D228" t="s">
        <v>22</v>
      </c>
      <c r="E228" s="2">
        <v>1</v>
      </c>
      <c r="F228" s="2">
        <v>1</v>
      </c>
      <c r="G228" t="s">
        <v>36</v>
      </c>
      <c r="H228">
        <v>21.45</v>
      </c>
      <c r="I228">
        <v>2.14</v>
      </c>
      <c r="J228">
        <v>6.44</v>
      </c>
      <c r="K228">
        <v>6.44</v>
      </c>
      <c r="L228">
        <v>6.44</v>
      </c>
      <c r="M228" s="6">
        <v>0.35294117647058826</v>
      </c>
      <c r="N228" s="6">
        <v>0.11764705882352941</v>
      </c>
      <c r="O228" s="6">
        <v>0.52941176470588236</v>
      </c>
      <c r="P228" s="10">
        <v>64</v>
      </c>
      <c r="Q228">
        <v>41.5</v>
      </c>
      <c r="R228">
        <v>4.1500000000000004</v>
      </c>
      <c r="S228">
        <v>12.45</v>
      </c>
      <c r="T228">
        <v>12.45</v>
      </c>
      <c r="U228">
        <v>12.45</v>
      </c>
      <c r="V228" s="6">
        <v>0.27777777777777779</v>
      </c>
      <c r="W228" s="6">
        <v>0.27777777777777779</v>
      </c>
      <c r="X228" s="6">
        <v>0.44444444444444442</v>
      </c>
      <c r="Y228" s="11">
        <f>VLOOKUP(G228,'[1]historico puntos 2022-2025'!$A$2:$G$19,7,0)</f>
        <v>87</v>
      </c>
      <c r="Z228" t="s">
        <v>39</v>
      </c>
      <c r="AA228">
        <f t="shared" si="11"/>
        <v>226</v>
      </c>
    </row>
    <row r="229" spans="1:27" hidden="1" x14ac:dyDescent="0.3">
      <c r="A229" t="str">
        <f t="shared" si="9"/>
        <v>2023-León</v>
      </c>
      <c r="B229" t="str">
        <f t="shared" si="10"/>
        <v>2023-Xolos</v>
      </c>
      <c r="C229">
        <v>2023</v>
      </c>
      <c r="D229" t="s">
        <v>36</v>
      </c>
      <c r="E229" s="2">
        <v>1</v>
      </c>
      <c r="F229" s="2">
        <v>0</v>
      </c>
      <c r="G229" t="s">
        <v>19</v>
      </c>
      <c r="H229">
        <v>41.5</v>
      </c>
      <c r="I229">
        <v>4.1500000000000004</v>
      </c>
      <c r="J229">
        <v>12.45</v>
      </c>
      <c r="K229">
        <v>12.45</v>
      </c>
      <c r="L229">
        <v>12.45</v>
      </c>
      <c r="M229" s="6">
        <v>0.3888888888888889</v>
      </c>
      <c r="N229" s="6">
        <v>0.3888888888888889</v>
      </c>
      <c r="O229" s="6">
        <v>0.22222222222222221</v>
      </c>
      <c r="P229" s="10">
        <v>87</v>
      </c>
      <c r="Q229" t="s">
        <v>37</v>
      </c>
      <c r="R229" t="s">
        <v>37</v>
      </c>
      <c r="S229" t="s">
        <v>37</v>
      </c>
      <c r="T229" t="s">
        <v>37</v>
      </c>
      <c r="U229" t="s">
        <v>37</v>
      </c>
      <c r="V229" s="6">
        <v>0.27777777777777779</v>
      </c>
      <c r="W229" s="6">
        <v>0.22222222222222221</v>
      </c>
      <c r="X229" s="6">
        <v>0.5</v>
      </c>
      <c r="Y229" s="11">
        <f>VLOOKUP(G229,'[1]historico puntos 2022-2025'!$A$2:$G$19,7,0)</f>
        <v>49</v>
      </c>
      <c r="Z229" t="s">
        <v>38</v>
      </c>
      <c r="AA229">
        <f t="shared" si="11"/>
        <v>227</v>
      </c>
    </row>
    <row r="230" spans="1:27" hidden="1" x14ac:dyDescent="0.3">
      <c r="A230" t="str">
        <f t="shared" si="9"/>
        <v>2023-León</v>
      </c>
      <c r="B230" t="str">
        <f t="shared" si="10"/>
        <v>2023-Necaxa</v>
      </c>
      <c r="C230">
        <v>2023</v>
      </c>
      <c r="D230" t="s">
        <v>36</v>
      </c>
      <c r="E230" s="2">
        <v>1</v>
      </c>
      <c r="F230" s="2">
        <v>1</v>
      </c>
      <c r="G230" t="s">
        <v>4</v>
      </c>
      <c r="H230">
        <v>41.5</v>
      </c>
      <c r="I230">
        <v>4.1500000000000004</v>
      </c>
      <c r="J230">
        <v>12.45</v>
      </c>
      <c r="K230">
        <v>12.45</v>
      </c>
      <c r="L230">
        <v>12.45</v>
      </c>
      <c r="M230" s="6">
        <v>0.3888888888888889</v>
      </c>
      <c r="N230" s="6">
        <v>0.3888888888888889</v>
      </c>
      <c r="O230" s="6">
        <v>0.22222222222222221</v>
      </c>
      <c r="P230" s="10">
        <v>87</v>
      </c>
      <c r="Q230">
        <v>40</v>
      </c>
      <c r="R230">
        <v>4</v>
      </c>
      <c r="S230">
        <v>12</v>
      </c>
      <c r="T230">
        <v>12</v>
      </c>
      <c r="U230">
        <v>12</v>
      </c>
      <c r="V230" s="6">
        <v>0.27777777777777779</v>
      </c>
      <c r="W230" s="6">
        <v>0.27777777777777779</v>
      </c>
      <c r="X230" s="6">
        <v>0.44444444444444442</v>
      </c>
      <c r="Y230" s="11">
        <f>VLOOKUP(G230,'[1]historico puntos 2022-2025'!$A$2:$G$19,7,0)</f>
        <v>77</v>
      </c>
      <c r="Z230" t="s">
        <v>39</v>
      </c>
      <c r="AA230">
        <f t="shared" si="11"/>
        <v>228</v>
      </c>
    </row>
    <row r="231" spans="1:27" hidden="1" x14ac:dyDescent="0.3">
      <c r="A231" t="str">
        <f t="shared" si="9"/>
        <v>2023-Atlético San Luis</v>
      </c>
      <c r="B231" t="str">
        <f t="shared" si="10"/>
        <v>2023-León</v>
      </c>
      <c r="C231">
        <v>2023</v>
      </c>
      <c r="D231" t="s">
        <v>15</v>
      </c>
      <c r="E231" s="2">
        <v>3</v>
      </c>
      <c r="F231" s="2">
        <v>0</v>
      </c>
      <c r="G231" t="s">
        <v>36</v>
      </c>
      <c r="H231">
        <v>35.85</v>
      </c>
      <c r="I231">
        <v>3.59</v>
      </c>
      <c r="J231">
        <v>10.77</v>
      </c>
      <c r="K231">
        <v>10.77</v>
      </c>
      <c r="L231">
        <v>10.77</v>
      </c>
      <c r="M231" s="6">
        <v>0.68421052631578949</v>
      </c>
      <c r="N231" s="6">
        <v>5.2631578947368418E-2</v>
      </c>
      <c r="O231" s="6">
        <v>0.26315789473684209</v>
      </c>
      <c r="P231" s="10">
        <v>59</v>
      </c>
      <c r="Q231">
        <v>41.5</v>
      </c>
      <c r="R231">
        <v>4.1500000000000004</v>
      </c>
      <c r="S231">
        <v>12.45</v>
      </c>
      <c r="T231">
        <v>12.45</v>
      </c>
      <c r="U231">
        <v>12.45</v>
      </c>
      <c r="V231" s="6">
        <v>0.27777777777777779</v>
      </c>
      <c r="W231" s="6">
        <v>0.27777777777777779</v>
      </c>
      <c r="X231" s="6">
        <v>0.44444444444444442</v>
      </c>
      <c r="Y231" s="11">
        <f>VLOOKUP(G231,'[1]historico puntos 2022-2025'!$A$2:$G$19,7,0)</f>
        <v>87</v>
      </c>
      <c r="Z231" t="s">
        <v>38</v>
      </c>
      <c r="AA231">
        <f t="shared" si="11"/>
        <v>229</v>
      </c>
    </row>
    <row r="232" spans="1:27" hidden="1" x14ac:dyDescent="0.3">
      <c r="A232" t="str">
        <f t="shared" si="9"/>
        <v>2023-León</v>
      </c>
      <c r="B232" t="str">
        <f t="shared" si="10"/>
        <v>2023-Mazatlán</v>
      </c>
      <c r="C232">
        <v>2023</v>
      </c>
      <c r="D232" t="s">
        <v>36</v>
      </c>
      <c r="E232" s="2">
        <v>2</v>
      </c>
      <c r="F232" s="2">
        <v>1</v>
      </c>
      <c r="G232" t="s">
        <v>20</v>
      </c>
      <c r="H232">
        <v>41.5</v>
      </c>
      <c r="I232">
        <v>4.1500000000000004</v>
      </c>
      <c r="J232">
        <v>12.45</v>
      </c>
      <c r="K232">
        <v>12.45</v>
      </c>
      <c r="L232">
        <v>12.45</v>
      </c>
      <c r="M232" s="6">
        <v>0.3888888888888889</v>
      </c>
      <c r="N232" s="6">
        <v>0.3888888888888889</v>
      </c>
      <c r="O232" s="6">
        <v>0.22222222222222221</v>
      </c>
      <c r="P232" s="10">
        <v>87</v>
      </c>
      <c r="Q232">
        <v>35.049999999999997</v>
      </c>
      <c r="R232">
        <v>3.5</v>
      </c>
      <c r="S232">
        <v>10.51</v>
      </c>
      <c r="T232">
        <v>10.51</v>
      </c>
      <c r="U232">
        <v>10.51</v>
      </c>
      <c r="V232" s="6">
        <v>5.8823529411764705E-2</v>
      </c>
      <c r="W232" s="6">
        <v>0.29411764705882354</v>
      </c>
      <c r="X232" s="6">
        <v>0.6470588235294118</v>
      </c>
      <c r="Y232" s="11">
        <f>VLOOKUP(G232,'[1]historico puntos 2022-2025'!$A$2:$G$19,7,0)</f>
        <v>40</v>
      </c>
      <c r="Z232" t="s">
        <v>38</v>
      </c>
      <c r="AA232">
        <f t="shared" si="11"/>
        <v>230</v>
      </c>
    </row>
    <row r="233" spans="1:27" x14ac:dyDescent="0.3">
      <c r="A233" t="str">
        <f t="shared" si="9"/>
        <v>2023-Tigres</v>
      </c>
      <c r="B233" t="str">
        <f t="shared" si="10"/>
        <v>2023-León</v>
      </c>
      <c r="C233">
        <v>2023</v>
      </c>
      <c r="D233" t="s">
        <v>17</v>
      </c>
      <c r="E233" s="2">
        <v>1</v>
      </c>
      <c r="F233" s="2">
        <v>0</v>
      </c>
      <c r="G233" t="s">
        <v>36</v>
      </c>
      <c r="H233">
        <v>67.599999999999994</v>
      </c>
      <c r="I233">
        <v>6.76</v>
      </c>
      <c r="J233">
        <v>20.28</v>
      </c>
      <c r="K233">
        <v>20.28</v>
      </c>
      <c r="L233">
        <v>20.28</v>
      </c>
      <c r="M233" s="6">
        <v>0.7</v>
      </c>
      <c r="N233" s="6">
        <v>0.25</v>
      </c>
      <c r="O233" s="6">
        <v>0.05</v>
      </c>
      <c r="P233" s="10">
        <v>107</v>
      </c>
      <c r="Q233">
        <v>41.5</v>
      </c>
      <c r="R233">
        <v>4.1500000000000004</v>
      </c>
      <c r="S233">
        <v>12.45</v>
      </c>
      <c r="T233">
        <v>12.45</v>
      </c>
      <c r="U233">
        <v>12.45</v>
      </c>
      <c r="V233" s="6">
        <v>0.27777777777777779</v>
      </c>
      <c r="W233" s="6">
        <v>0.27777777777777779</v>
      </c>
      <c r="X233" s="6">
        <v>0.44444444444444442</v>
      </c>
      <c r="Y233" s="11">
        <f>VLOOKUP(G233,'[1]historico puntos 2022-2025'!$A$2:$G$19,7,0)</f>
        <v>87</v>
      </c>
      <c r="Z233" t="s">
        <v>38</v>
      </c>
      <c r="AA233">
        <f t="shared" si="11"/>
        <v>231</v>
      </c>
    </row>
    <row r="234" spans="1:27" hidden="1" x14ac:dyDescent="0.3">
      <c r="A234" t="str">
        <f t="shared" si="9"/>
        <v>2023-León</v>
      </c>
      <c r="B234" t="str">
        <f t="shared" si="10"/>
        <v>2023-Pachuca</v>
      </c>
      <c r="C234">
        <v>2023</v>
      </c>
      <c r="D234" t="s">
        <v>36</v>
      </c>
      <c r="E234" s="2">
        <v>4</v>
      </c>
      <c r="F234" s="2">
        <v>0</v>
      </c>
      <c r="G234" t="s">
        <v>0</v>
      </c>
      <c r="H234">
        <v>41.5</v>
      </c>
      <c r="I234">
        <v>4.1500000000000004</v>
      </c>
      <c r="J234">
        <v>12.45</v>
      </c>
      <c r="K234">
        <v>12.45</v>
      </c>
      <c r="L234">
        <v>12.45</v>
      </c>
      <c r="M234" s="6">
        <v>0.3888888888888889</v>
      </c>
      <c r="N234" s="6">
        <v>0.3888888888888889</v>
      </c>
      <c r="O234" s="6">
        <v>0.22222222222222221</v>
      </c>
      <c r="P234" s="10">
        <v>87</v>
      </c>
      <c r="Q234">
        <v>51.25</v>
      </c>
      <c r="R234">
        <v>5.13</v>
      </c>
      <c r="S234">
        <v>15.38</v>
      </c>
      <c r="T234">
        <v>15.38</v>
      </c>
      <c r="U234">
        <v>15.38</v>
      </c>
      <c r="V234" s="6">
        <v>0.26315789473684209</v>
      </c>
      <c r="W234" s="6">
        <v>0.15789473684210525</v>
      </c>
      <c r="X234" s="6">
        <v>0.57894736842105265</v>
      </c>
      <c r="Y234" s="11">
        <f>VLOOKUP(G234,'[1]historico puntos 2022-2025'!$A$2:$G$19,7,0)</f>
        <v>98</v>
      </c>
      <c r="Z234" t="s">
        <v>38</v>
      </c>
      <c r="AA234">
        <f t="shared" si="11"/>
        <v>232</v>
      </c>
    </row>
    <row r="235" spans="1:27" hidden="1" x14ac:dyDescent="0.3">
      <c r="A235" t="str">
        <f t="shared" si="9"/>
        <v>2023-León</v>
      </c>
      <c r="B235" t="str">
        <f t="shared" si="10"/>
        <v>2023-Chivas</v>
      </c>
      <c r="C235">
        <v>2023</v>
      </c>
      <c r="D235" t="s">
        <v>36</v>
      </c>
      <c r="E235" s="2">
        <v>1</v>
      </c>
      <c r="F235" s="2">
        <v>2</v>
      </c>
      <c r="G235" t="s">
        <v>21</v>
      </c>
      <c r="H235">
        <v>41.5</v>
      </c>
      <c r="I235">
        <v>4.1500000000000004</v>
      </c>
      <c r="J235">
        <v>12.45</v>
      </c>
      <c r="K235">
        <v>12.45</v>
      </c>
      <c r="L235">
        <v>12.45</v>
      </c>
      <c r="M235" s="6">
        <v>0.3888888888888889</v>
      </c>
      <c r="N235" s="6">
        <v>0.3888888888888889</v>
      </c>
      <c r="O235" s="6">
        <v>0.22222222222222221</v>
      </c>
      <c r="P235" s="10">
        <v>87</v>
      </c>
      <c r="Q235" t="s">
        <v>37</v>
      </c>
      <c r="R235" t="s">
        <v>37</v>
      </c>
      <c r="S235" t="s">
        <v>37</v>
      </c>
      <c r="T235" t="s">
        <v>37</v>
      </c>
      <c r="U235" t="s">
        <v>37</v>
      </c>
      <c r="V235" s="6">
        <v>0.23529411764705882</v>
      </c>
      <c r="W235" s="6">
        <v>0.23529411764705882</v>
      </c>
      <c r="X235" s="6">
        <v>0.52941176470588236</v>
      </c>
      <c r="Y235" s="11">
        <f>VLOOKUP(G235,'[1]historico puntos 2022-2025'!$A$2:$G$19,7,0)</f>
        <v>99</v>
      </c>
      <c r="Z235" t="s">
        <v>40</v>
      </c>
      <c r="AA235">
        <f t="shared" si="11"/>
        <v>233</v>
      </c>
    </row>
    <row r="236" spans="1:27" hidden="1" x14ac:dyDescent="0.3">
      <c r="A236" t="str">
        <f t="shared" si="9"/>
        <v>2024-Pachuca</v>
      </c>
      <c r="B236" t="str">
        <f t="shared" si="10"/>
        <v>2024-Mazatlán</v>
      </c>
      <c r="C236">
        <v>2024</v>
      </c>
      <c r="D236" t="s">
        <v>0</v>
      </c>
      <c r="E236" s="2">
        <v>1</v>
      </c>
      <c r="F236" s="2">
        <v>1</v>
      </c>
      <c r="G236" t="s">
        <v>20</v>
      </c>
      <c r="H236">
        <v>56.6</v>
      </c>
      <c r="I236">
        <v>5.66</v>
      </c>
      <c r="J236">
        <v>16.98</v>
      </c>
      <c r="K236">
        <v>16.98</v>
      </c>
      <c r="L236">
        <v>16.98</v>
      </c>
      <c r="M236" s="6">
        <v>0.3888888888888889</v>
      </c>
      <c r="N236" s="6">
        <v>0.33333333333333331</v>
      </c>
      <c r="O236" s="6">
        <v>0.27777777777777779</v>
      </c>
      <c r="P236" s="10">
        <v>98</v>
      </c>
      <c r="Q236">
        <v>31.45</v>
      </c>
      <c r="R236">
        <v>3.15</v>
      </c>
      <c r="S236">
        <v>9.44</v>
      </c>
      <c r="T236">
        <v>9.44</v>
      </c>
      <c r="U236">
        <v>9.44</v>
      </c>
      <c r="V236" s="6">
        <v>5.8823529411764705E-2</v>
      </c>
      <c r="W236" s="6">
        <v>0.29411764705882354</v>
      </c>
      <c r="X236" s="6">
        <v>0.6470588235294118</v>
      </c>
      <c r="Y236" s="11">
        <f>VLOOKUP(G236,'[1]historico puntos 2022-2025'!$A$2:$G$19,7,0)</f>
        <v>40</v>
      </c>
      <c r="Z236" t="s">
        <v>39</v>
      </c>
      <c r="AA236">
        <f t="shared" si="11"/>
        <v>234</v>
      </c>
    </row>
    <row r="237" spans="1:27" hidden="1" x14ac:dyDescent="0.3">
      <c r="A237" t="str">
        <f t="shared" si="9"/>
        <v>2024-Mazatlán</v>
      </c>
      <c r="B237" t="str">
        <f t="shared" si="10"/>
        <v>2024-Pumas</v>
      </c>
      <c r="C237">
        <v>2024</v>
      </c>
      <c r="D237" t="s">
        <v>20</v>
      </c>
      <c r="E237" s="2">
        <v>0</v>
      </c>
      <c r="F237" s="2">
        <v>4</v>
      </c>
      <c r="G237" t="s">
        <v>16</v>
      </c>
      <c r="H237">
        <v>31.45</v>
      </c>
      <c r="I237">
        <v>3.15</v>
      </c>
      <c r="J237">
        <v>9.44</v>
      </c>
      <c r="K237">
        <v>9.44</v>
      </c>
      <c r="L237">
        <v>9.44</v>
      </c>
      <c r="M237" s="6">
        <v>0.29411764705882354</v>
      </c>
      <c r="N237" s="6">
        <v>0.47058823529411764</v>
      </c>
      <c r="O237" s="6">
        <v>0.23529411764705882</v>
      </c>
      <c r="P237" s="10">
        <v>40</v>
      </c>
      <c r="Q237">
        <v>47.6</v>
      </c>
      <c r="R237">
        <v>4.76</v>
      </c>
      <c r="S237">
        <v>14.28</v>
      </c>
      <c r="T237">
        <v>14.28</v>
      </c>
      <c r="U237">
        <v>14.28</v>
      </c>
      <c r="V237" s="6">
        <v>0.3</v>
      </c>
      <c r="W237" s="6">
        <v>0.25</v>
      </c>
      <c r="X237" s="6">
        <v>0.45</v>
      </c>
      <c r="Y237" s="11">
        <f>VLOOKUP(G237,'[1]historico puntos 2022-2025'!$A$2:$G$19,7,0)</f>
        <v>75</v>
      </c>
      <c r="Z237" t="s">
        <v>40</v>
      </c>
      <c r="AA237">
        <f t="shared" si="11"/>
        <v>235</v>
      </c>
    </row>
    <row r="238" spans="1:27" hidden="1" x14ac:dyDescent="0.3">
      <c r="A238" t="str">
        <f t="shared" si="9"/>
        <v>2024-Mazatlán</v>
      </c>
      <c r="B238" t="str">
        <f t="shared" si="10"/>
        <v>2024-Xolos</v>
      </c>
      <c r="C238">
        <v>2024</v>
      </c>
      <c r="D238" t="s">
        <v>20</v>
      </c>
      <c r="E238" s="2">
        <v>2</v>
      </c>
      <c r="F238" s="2">
        <v>0</v>
      </c>
      <c r="G238" t="s">
        <v>19</v>
      </c>
      <c r="H238">
        <v>31.45</v>
      </c>
      <c r="I238">
        <v>3.15</v>
      </c>
      <c r="J238">
        <v>9.44</v>
      </c>
      <c r="K238">
        <v>9.44</v>
      </c>
      <c r="L238">
        <v>9.44</v>
      </c>
      <c r="M238" s="6">
        <v>0.29411764705882354</v>
      </c>
      <c r="N238" s="6">
        <v>0.47058823529411764</v>
      </c>
      <c r="O238" s="6">
        <v>0.23529411764705882</v>
      </c>
      <c r="P238" s="10">
        <v>40</v>
      </c>
      <c r="Q238">
        <v>39.15</v>
      </c>
      <c r="R238">
        <v>3.92</v>
      </c>
      <c r="S238">
        <v>11.75</v>
      </c>
      <c r="T238">
        <v>11.75</v>
      </c>
      <c r="U238">
        <v>11.75</v>
      </c>
      <c r="V238" s="6">
        <v>0.27777777777777779</v>
      </c>
      <c r="W238" s="6">
        <v>0.22222222222222221</v>
      </c>
      <c r="X238" s="6">
        <v>0.5</v>
      </c>
      <c r="Y238" s="11">
        <f>VLOOKUP(G238,'[1]historico puntos 2022-2025'!$A$2:$G$19,7,0)</f>
        <v>49</v>
      </c>
      <c r="Z238" t="s">
        <v>38</v>
      </c>
      <c r="AA238">
        <f t="shared" si="11"/>
        <v>236</v>
      </c>
    </row>
    <row r="239" spans="1:27" x14ac:dyDescent="0.3">
      <c r="A239" t="str">
        <f t="shared" si="9"/>
        <v>2024-Tigres</v>
      </c>
      <c r="B239" t="str">
        <f t="shared" si="10"/>
        <v>2024-Mazatlán</v>
      </c>
      <c r="C239">
        <v>2024</v>
      </c>
      <c r="D239" t="s">
        <v>17</v>
      </c>
      <c r="E239" s="2">
        <v>5</v>
      </c>
      <c r="F239" s="2">
        <v>1</v>
      </c>
      <c r="G239" t="s">
        <v>20</v>
      </c>
      <c r="H239">
        <v>67</v>
      </c>
      <c r="I239">
        <v>6.7</v>
      </c>
      <c r="J239">
        <v>20.100000000000001</v>
      </c>
      <c r="K239">
        <v>20.100000000000001</v>
      </c>
      <c r="L239">
        <v>20.100000000000001</v>
      </c>
      <c r="M239" s="6">
        <v>0.7</v>
      </c>
      <c r="N239" s="6">
        <v>0.25</v>
      </c>
      <c r="O239" s="6">
        <v>0.05</v>
      </c>
      <c r="P239" s="10">
        <v>107</v>
      </c>
      <c r="Q239">
        <v>31.45</v>
      </c>
      <c r="R239">
        <v>3.15</v>
      </c>
      <c r="S239">
        <v>9.44</v>
      </c>
      <c r="T239">
        <v>9.44</v>
      </c>
      <c r="U239">
        <v>9.44</v>
      </c>
      <c r="V239" s="6">
        <v>5.8823529411764705E-2</v>
      </c>
      <c r="W239" s="6">
        <v>0.29411764705882354</v>
      </c>
      <c r="X239" s="6">
        <v>0.6470588235294118</v>
      </c>
      <c r="Y239" s="11">
        <f>VLOOKUP(G239,'[1]historico puntos 2022-2025'!$A$2:$G$19,7,0)</f>
        <v>40</v>
      </c>
      <c r="Z239" t="s">
        <v>38</v>
      </c>
      <c r="AA239">
        <f t="shared" si="11"/>
        <v>237</v>
      </c>
    </row>
    <row r="240" spans="1:27" hidden="1" x14ac:dyDescent="0.3">
      <c r="A240" t="str">
        <f t="shared" si="9"/>
        <v>2024-Monterrey</v>
      </c>
      <c r="B240" t="str">
        <f t="shared" si="10"/>
        <v>2024-Mazatlán</v>
      </c>
      <c r="C240">
        <v>2024</v>
      </c>
      <c r="D240" t="s">
        <v>3</v>
      </c>
      <c r="E240" s="2">
        <v>2</v>
      </c>
      <c r="F240" s="2">
        <v>1</v>
      </c>
      <c r="G240" t="s">
        <v>20</v>
      </c>
      <c r="H240">
        <v>88.6</v>
      </c>
      <c r="I240">
        <v>8.86</v>
      </c>
      <c r="J240">
        <v>26.58</v>
      </c>
      <c r="K240">
        <v>26.58</v>
      </c>
      <c r="L240">
        <v>26.58</v>
      </c>
      <c r="M240" s="6">
        <v>0.60869565217391308</v>
      </c>
      <c r="N240" s="6">
        <v>0.17391304347826086</v>
      </c>
      <c r="O240" s="6">
        <v>0.21739130434782608</v>
      </c>
      <c r="P240" s="10">
        <v>118</v>
      </c>
      <c r="Q240">
        <v>31.45</v>
      </c>
      <c r="R240">
        <v>3.15</v>
      </c>
      <c r="S240">
        <v>9.44</v>
      </c>
      <c r="T240">
        <v>9.44</v>
      </c>
      <c r="U240">
        <v>9.44</v>
      </c>
      <c r="V240" s="6">
        <v>5.8823529411764705E-2</v>
      </c>
      <c r="W240" s="6">
        <v>0.29411764705882354</v>
      </c>
      <c r="X240" s="6">
        <v>0.6470588235294118</v>
      </c>
      <c r="Y240" s="11">
        <f>VLOOKUP(G240,'[1]historico puntos 2022-2025'!$A$2:$G$19,7,0)</f>
        <v>40</v>
      </c>
      <c r="Z240" t="s">
        <v>38</v>
      </c>
      <c r="AA240">
        <f t="shared" si="11"/>
        <v>238</v>
      </c>
    </row>
    <row r="241" spans="1:27" hidden="1" x14ac:dyDescent="0.3">
      <c r="A241" t="str">
        <f t="shared" si="9"/>
        <v>2024-Mazatlán</v>
      </c>
      <c r="B241" t="str">
        <f t="shared" si="10"/>
        <v>2024-Necaxa</v>
      </c>
      <c r="C241">
        <v>2024</v>
      </c>
      <c r="D241" t="s">
        <v>20</v>
      </c>
      <c r="E241" s="2">
        <v>2</v>
      </c>
      <c r="F241" s="2">
        <v>1</v>
      </c>
      <c r="G241" t="s">
        <v>4</v>
      </c>
      <c r="H241">
        <v>31.45</v>
      </c>
      <c r="I241">
        <v>3.15</v>
      </c>
      <c r="J241">
        <v>9.44</v>
      </c>
      <c r="K241">
        <v>9.44</v>
      </c>
      <c r="L241">
        <v>9.44</v>
      </c>
      <c r="M241" s="6">
        <v>0.29411764705882354</v>
      </c>
      <c r="N241" s="6">
        <v>0.47058823529411764</v>
      </c>
      <c r="O241" s="6">
        <v>0.23529411764705882</v>
      </c>
      <c r="P241" s="10">
        <v>40</v>
      </c>
      <c r="Q241">
        <v>38.5</v>
      </c>
      <c r="R241">
        <v>3.85</v>
      </c>
      <c r="S241">
        <v>11.55</v>
      </c>
      <c r="T241">
        <v>11.55</v>
      </c>
      <c r="U241">
        <v>11.55</v>
      </c>
      <c r="V241" s="6">
        <v>0.27777777777777779</v>
      </c>
      <c r="W241" s="6">
        <v>0.27777777777777779</v>
      </c>
      <c r="X241" s="6">
        <v>0.44444444444444442</v>
      </c>
      <c r="Y241" s="11">
        <f>VLOOKUP(G241,'[1]historico puntos 2022-2025'!$A$2:$G$19,7,0)</f>
        <v>77</v>
      </c>
      <c r="Z241" t="s">
        <v>38</v>
      </c>
      <c r="AA241">
        <f t="shared" si="11"/>
        <v>239</v>
      </c>
    </row>
    <row r="242" spans="1:27" hidden="1" x14ac:dyDescent="0.3">
      <c r="A242" t="str">
        <f t="shared" si="9"/>
        <v>2024-Santos Laguna</v>
      </c>
      <c r="B242" t="str">
        <f t="shared" si="10"/>
        <v>2024-Mazatlán</v>
      </c>
      <c r="C242">
        <v>2024</v>
      </c>
      <c r="D242" t="s">
        <v>11</v>
      </c>
      <c r="E242" s="2">
        <v>1</v>
      </c>
      <c r="F242" s="2">
        <v>0</v>
      </c>
      <c r="G242" t="s">
        <v>20</v>
      </c>
      <c r="H242">
        <v>35.9</v>
      </c>
      <c r="I242">
        <v>3.59</v>
      </c>
      <c r="J242">
        <v>10.77</v>
      </c>
      <c r="K242">
        <v>10.77</v>
      </c>
      <c r="L242">
        <v>10.77</v>
      </c>
      <c r="M242" s="6">
        <v>0.23529411764705882</v>
      </c>
      <c r="N242" s="6">
        <v>0.17647058823529413</v>
      </c>
      <c r="O242" s="6">
        <v>0.58823529411764708</v>
      </c>
      <c r="P242" s="10">
        <v>46</v>
      </c>
      <c r="Q242">
        <v>31.45</v>
      </c>
      <c r="R242">
        <v>3.15</v>
      </c>
      <c r="S242">
        <v>9.44</v>
      </c>
      <c r="T242">
        <v>9.44</v>
      </c>
      <c r="U242">
        <v>9.44</v>
      </c>
      <c r="V242" s="6">
        <v>5.8823529411764705E-2</v>
      </c>
      <c r="W242" s="6">
        <v>0.29411764705882354</v>
      </c>
      <c r="X242" s="6">
        <v>0.6470588235294118</v>
      </c>
      <c r="Y242" s="11">
        <f>VLOOKUP(G242,'[1]historico puntos 2022-2025'!$A$2:$G$19,7,0)</f>
        <v>40</v>
      </c>
      <c r="Z242" t="s">
        <v>38</v>
      </c>
      <c r="AA242">
        <f t="shared" si="11"/>
        <v>240</v>
      </c>
    </row>
    <row r="243" spans="1:27" hidden="1" x14ac:dyDescent="0.3">
      <c r="A243" t="str">
        <f t="shared" si="9"/>
        <v>2024-América</v>
      </c>
      <c r="B243" t="str">
        <f t="shared" si="10"/>
        <v>2024-Mazatlán</v>
      </c>
      <c r="C243">
        <v>2024</v>
      </c>
      <c r="D243" t="s">
        <v>14</v>
      </c>
      <c r="E243" s="2">
        <v>2</v>
      </c>
      <c r="F243" s="2">
        <v>2</v>
      </c>
      <c r="G243" t="s">
        <v>20</v>
      </c>
      <c r="H243">
        <v>92.45</v>
      </c>
      <c r="I243">
        <v>9.25</v>
      </c>
      <c r="J243">
        <v>27.73</v>
      </c>
      <c r="K243">
        <v>27.73</v>
      </c>
      <c r="L243">
        <v>27.73</v>
      </c>
      <c r="M243" s="6">
        <v>0.65217391304347827</v>
      </c>
      <c r="N243" s="6">
        <v>0.21739130434782608</v>
      </c>
      <c r="O243" s="6">
        <v>0.13043478260869565</v>
      </c>
      <c r="P243" s="10">
        <v>133</v>
      </c>
      <c r="Q243">
        <v>31.45</v>
      </c>
      <c r="R243">
        <v>3.15</v>
      </c>
      <c r="S243">
        <v>9.44</v>
      </c>
      <c r="T243">
        <v>9.44</v>
      </c>
      <c r="U243">
        <v>9.44</v>
      </c>
      <c r="V243" s="6">
        <v>5.8823529411764705E-2</v>
      </c>
      <c r="W243" s="6">
        <v>0.29411764705882354</v>
      </c>
      <c r="X243" s="6">
        <v>0.6470588235294118</v>
      </c>
      <c r="Y243" s="11">
        <f>VLOOKUP(G243,'[1]historico puntos 2022-2025'!$A$2:$G$19,7,0)</f>
        <v>40</v>
      </c>
      <c r="Z243" t="s">
        <v>39</v>
      </c>
      <c r="AA243">
        <f t="shared" si="11"/>
        <v>241</v>
      </c>
    </row>
    <row r="244" spans="1:27" hidden="1" x14ac:dyDescent="0.3">
      <c r="A244" t="str">
        <f t="shared" si="9"/>
        <v>2024-Mazatlán</v>
      </c>
      <c r="B244" t="str">
        <f t="shared" si="10"/>
        <v>2024-Chivas</v>
      </c>
      <c r="C244">
        <v>2024</v>
      </c>
      <c r="D244" t="s">
        <v>20</v>
      </c>
      <c r="E244" s="2">
        <v>2</v>
      </c>
      <c r="F244" s="2">
        <v>2</v>
      </c>
      <c r="G244" t="s">
        <v>21</v>
      </c>
      <c r="H244">
        <v>31.45</v>
      </c>
      <c r="I244">
        <v>3.15</v>
      </c>
      <c r="J244">
        <v>9.44</v>
      </c>
      <c r="K244">
        <v>9.44</v>
      </c>
      <c r="L244">
        <v>9.44</v>
      </c>
      <c r="M244" s="6">
        <v>0.29411764705882354</v>
      </c>
      <c r="N244" s="6">
        <v>0.47058823529411764</v>
      </c>
      <c r="O244" s="6">
        <v>0.23529411764705882</v>
      </c>
      <c r="P244" s="10">
        <v>40</v>
      </c>
      <c r="Q244" t="s">
        <v>37</v>
      </c>
      <c r="R244" t="s">
        <v>37</v>
      </c>
      <c r="S244" t="s">
        <v>37</v>
      </c>
      <c r="T244" t="s">
        <v>37</v>
      </c>
      <c r="U244" t="s">
        <v>37</v>
      </c>
      <c r="V244" s="6">
        <v>0.23529411764705882</v>
      </c>
      <c r="W244" s="6">
        <v>0.23529411764705882</v>
      </c>
      <c r="X244" s="6">
        <v>0.52941176470588236</v>
      </c>
      <c r="Y244" s="11">
        <f>VLOOKUP(G244,'[1]historico puntos 2022-2025'!$A$2:$G$19,7,0)</f>
        <v>99</v>
      </c>
      <c r="Z244" t="s">
        <v>39</v>
      </c>
      <c r="AA244">
        <f t="shared" si="11"/>
        <v>242</v>
      </c>
    </row>
    <row r="245" spans="1:27" hidden="1" x14ac:dyDescent="0.3">
      <c r="A245" t="str">
        <f t="shared" si="9"/>
        <v>2024-Mazatlán</v>
      </c>
      <c r="B245" t="str">
        <f t="shared" si="10"/>
        <v>2024-Atlas</v>
      </c>
      <c r="C245">
        <v>2024</v>
      </c>
      <c r="D245" t="s">
        <v>20</v>
      </c>
      <c r="E245" s="2">
        <v>2</v>
      </c>
      <c r="F245" s="2">
        <v>0</v>
      </c>
      <c r="G245" t="s">
        <v>5</v>
      </c>
      <c r="H245">
        <v>31.45</v>
      </c>
      <c r="I245">
        <v>3.15</v>
      </c>
      <c r="J245">
        <v>9.44</v>
      </c>
      <c r="K245">
        <v>9.44</v>
      </c>
      <c r="L245">
        <v>9.44</v>
      </c>
      <c r="M245" s="6">
        <v>0.29411764705882354</v>
      </c>
      <c r="N245" s="6">
        <v>0.47058823529411764</v>
      </c>
      <c r="O245" s="6">
        <v>0.23529411764705882</v>
      </c>
      <c r="P245" s="10">
        <v>40</v>
      </c>
      <c r="Q245">
        <v>28.95</v>
      </c>
      <c r="R245">
        <v>2.9</v>
      </c>
      <c r="S245">
        <v>8.68</v>
      </c>
      <c r="T245">
        <v>8.68</v>
      </c>
      <c r="U245">
        <v>8.68</v>
      </c>
      <c r="V245" s="6">
        <v>0.26315789473684209</v>
      </c>
      <c r="W245" s="6">
        <v>0.31578947368421051</v>
      </c>
      <c r="X245" s="6">
        <v>0.42105263157894735</v>
      </c>
      <c r="Y245" s="11">
        <f>VLOOKUP(G245,'[1]historico puntos 2022-2025'!$A$2:$G$19,7,0)</f>
        <v>60</v>
      </c>
      <c r="Z245" t="s">
        <v>38</v>
      </c>
      <c r="AA245">
        <f t="shared" si="11"/>
        <v>243</v>
      </c>
    </row>
    <row r="246" spans="1:27" hidden="1" x14ac:dyDescent="0.3">
      <c r="A246" t="str">
        <f t="shared" si="9"/>
        <v>2024-Mazatlán</v>
      </c>
      <c r="B246" t="str">
        <f t="shared" si="10"/>
        <v>2024-León</v>
      </c>
      <c r="C246">
        <v>2024</v>
      </c>
      <c r="D246" t="s">
        <v>20</v>
      </c>
      <c r="E246" s="2">
        <v>2</v>
      </c>
      <c r="F246" s="2">
        <v>2</v>
      </c>
      <c r="G246" t="s">
        <v>36</v>
      </c>
      <c r="H246">
        <v>31.45</v>
      </c>
      <c r="I246">
        <v>3.15</v>
      </c>
      <c r="J246">
        <v>9.44</v>
      </c>
      <c r="K246">
        <v>9.44</v>
      </c>
      <c r="L246">
        <v>9.44</v>
      </c>
      <c r="M246" s="6">
        <v>0.29411764705882354</v>
      </c>
      <c r="N246" s="6">
        <v>0.47058823529411764</v>
      </c>
      <c r="O246" s="6">
        <v>0.23529411764705882</v>
      </c>
      <c r="P246" s="10">
        <v>40</v>
      </c>
      <c r="Q246">
        <v>29.55</v>
      </c>
      <c r="R246">
        <v>2.96</v>
      </c>
      <c r="S246">
        <v>8.8699999999999992</v>
      </c>
      <c r="T246">
        <v>8.8699999999999992</v>
      </c>
      <c r="U246">
        <v>8.8699999999999992</v>
      </c>
      <c r="V246" s="6">
        <v>0.27777777777777779</v>
      </c>
      <c r="W246" s="6">
        <v>0.27777777777777779</v>
      </c>
      <c r="X246" s="6">
        <v>0.44444444444444442</v>
      </c>
      <c r="Y246" s="11">
        <f>VLOOKUP(G246,'[1]historico puntos 2022-2025'!$A$2:$G$19,7,0)</f>
        <v>87</v>
      </c>
      <c r="Z246" t="s">
        <v>39</v>
      </c>
      <c r="AA246">
        <f t="shared" si="11"/>
        <v>244</v>
      </c>
    </row>
    <row r="247" spans="1:27" hidden="1" x14ac:dyDescent="0.3">
      <c r="A247" t="str">
        <f t="shared" si="9"/>
        <v>2024-Cruz Azul</v>
      </c>
      <c r="B247" t="str">
        <f t="shared" si="10"/>
        <v>2024-Mazatlán</v>
      </c>
      <c r="C247">
        <v>2024</v>
      </c>
      <c r="D247" t="s">
        <v>10</v>
      </c>
      <c r="E247" s="2">
        <v>2</v>
      </c>
      <c r="F247" s="2">
        <v>1</v>
      </c>
      <c r="G247" t="s">
        <v>20</v>
      </c>
      <c r="H247">
        <v>78.849999999999994</v>
      </c>
      <c r="I247">
        <v>7.89</v>
      </c>
      <c r="J247">
        <v>23.66</v>
      </c>
      <c r="K247">
        <v>23.66</v>
      </c>
      <c r="L247">
        <v>23.66</v>
      </c>
      <c r="M247" s="6">
        <v>0.7142857142857143</v>
      </c>
      <c r="N247" s="6">
        <v>0.23809523809523808</v>
      </c>
      <c r="O247" s="6">
        <v>4.7619047619047616E-2</v>
      </c>
      <c r="P247" s="10">
        <v>107</v>
      </c>
      <c r="Q247">
        <v>31.45</v>
      </c>
      <c r="R247">
        <v>3.15</v>
      </c>
      <c r="S247">
        <v>9.44</v>
      </c>
      <c r="T247">
        <v>9.44</v>
      </c>
      <c r="U247">
        <v>9.44</v>
      </c>
      <c r="V247" s="6">
        <v>5.8823529411764705E-2</v>
      </c>
      <c r="W247" s="6">
        <v>0.29411764705882354</v>
      </c>
      <c r="X247" s="6">
        <v>0.6470588235294118</v>
      </c>
      <c r="Y247" s="11">
        <f>VLOOKUP(G247,'[1]historico puntos 2022-2025'!$A$2:$G$19,7,0)</f>
        <v>40</v>
      </c>
      <c r="Z247" t="s">
        <v>38</v>
      </c>
      <c r="AA247">
        <f t="shared" si="11"/>
        <v>245</v>
      </c>
    </row>
    <row r="248" spans="1:27" hidden="1" x14ac:dyDescent="0.3">
      <c r="A248" t="str">
        <f t="shared" si="9"/>
        <v>2024-Toluca</v>
      </c>
      <c r="B248" t="str">
        <f t="shared" si="10"/>
        <v>2024-Mazatlán</v>
      </c>
      <c r="C248">
        <v>2024</v>
      </c>
      <c r="D248" t="s">
        <v>2</v>
      </c>
      <c r="E248" s="2">
        <v>4</v>
      </c>
      <c r="F248" s="2">
        <v>1</v>
      </c>
      <c r="G248" t="s">
        <v>20</v>
      </c>
      <c r="H248">
        <v>77.45</v>
      </c>
      <c r="I248">
        <v>7.75</v>
      </c>
      <c r="J248">
        <v>23.24</v>
      </c>
      <c r="K248">
        <v>23.24</v>
      </c>
      <c r="L248">
        <v>23.24</v>
      </c>
      <c r="M248" s="6">
        <v>0.76190476190476186</v>
      </c>
      <c r="N248" s="6">
        <v>0.19047619047619047</v>
      </c>
      <c r="O248" s="6">
        <v>4.7619047619047616E-2</v>
      </c>
      <c r="P248" s="10">
        <v>118</v>
      </c>
      <c r="Q248">
        <v>31.45</v>
      </c>
      <c r="R248">
        <v>3.15</v>
      </c>
      <c r="S248">
        <v>9.44</v>
      </c>
      <c r="T248">
        <v>9.44</v>
      </c>
      <c r="U248">
        <v>9.44</v>
      </c>
      <c r="V248" s="6">
        <v>5.8823529411764705E-2</v>
      </c>
      <c r="W248" s="6">
        <v>0.29411764705882354</v>
      </c>
      <c r="X248" s="6">
        <v>0.6470588235294118</v>
      </c>
      <c r="Y248" s="11">
        <f>VLOOKUP(G248,'[1]historico puntos 2022-2025'!$A$2:$G$19,7,0)</f>
        <v>40</v>
      </c>
      <c r="Z248" t="s">
        <v>38</v>
      </c>
      <c r="AA248">
        <f t="shared" si="11"/>
        <v>246</v>
      </c>
    </row>
    <row r="249" spans="1:27" hidden="1" x14ac:dyDescent="0.3">
      <c r="A249" t="str">
        <f t="shared" si="9"/>
        <v>2024-Mazatlán</v>
      </c>
      <c r="B249" t="str">
        <f t="shared" si="10"/>
        <v>2024-Atlético San Luis</v>
      </c>
      <c r="C249">
        <v>2024</v>
      </c>
      <c r="D249" t="s">
        <v>20</v>
      </c>
      <c r="E249" s="2">
        <v>0</v>
      </c>
      <c r="F249" s="2">
        <v>1</v>
      </c>
      <c r="G249" t="s">
        <v>15</v>
      </c>
      <c r="H249">
        <v>31.45</v>
      </c>
      <c r="I249">
        <v>3.15</v>
      </c>
      <c r="J249">
        <v>9.44</v>
      </c>
      <c r="K249">
        <v>9.44</v>
      </c>
      <c r="L249">
        <v>9.44</v>
      </c>
      <c r="M249" s="6">
        <v>0.29411764705882354</v>
      </c>
      <c r="N249" s="6">
        <v>0.47058823529411764</v>
      </c>
      <c r="O249" s="6">
        <v>0.23529411764705882</v>
      </c>
      <c r="P249" s="10">
        <v>40</v>
      </c>
      <c r="Q249">
        <v>45.95</v>
      </c>
      <c r="R249">
        <v>4.5999999999999996</v>
      </c>
      <c r="S249">
        <v>13.84</v>
      </c>
      <c r="T249">
        <v>13.84</v>
      </c>
      <c r="U249">
        <v>13.84</v>
      </c>
      <c r="V249" s="6">
        <v>0.21052631578947367</v>
      </c>
      <c r="W249" s="6">
        <v>0.15789473684210525</v>
      </c>
      <c r="X249" s="6">
        <v>0.63157894736842102</v>
      </c>
      <c r="Y249" s="11">
        <f>VLOOKUP(G249,'[1]historico puntos 2022-2025'!$A$2:$G$19,7,0)</f>
        <v>59</v>
      </c>
      <c r="Z249" t="s">
        <v>40</v>
      </c>
      <c r="AA249">
        <f t="shared" si="11"/>
        <v>247</v>
      </c>
    </row>
    <row r="250" spans="1:27" hidden="1" x14ac:dyDescent="0.3">
      <c r="A250" t="str">
        <f t="shared" si="9"/>
        <v>2023-Santos Laguna</v>
      </c>
      <c r="B250" t="str">
        <f t="shared" si="10"/>
        <v>2023-Mazatlán</v>
      </c>
      <c r="C250">
        <v>2023</v>
      </c>
      <c r="D250" t="s">
        <v>11</v>
      </c>
      <c r="E250" s="2">
        <v>2</v>
      </c>
      <c r="F250" s="2">
        <v>1</v>
      </c>
      <c r="G250" t="s">
        <v>20</v>
      </c>
      <c r="H250">
        <v>46</v>
      </c>
      <c r="I250">
        <v>4.5999999999999996</v>
      </c>
      <c r="J250">
        <v>13.8</v>
      </c>
      <c r="K250">
        <v>13.8</v>
      </c>
      <c r="L250">
        <v>13.8</v>
      </c>
      <c r="M250" s="6">
        <v>0.23529411764705882</v>
      </c>
      <c r="N250" s="6">
        <v>0.17647058823529413</v>
      </c>
      <c r="O250" s="6">
        <v>0.58823529411764708</v>
      </c>
      <c r="P250" s="10">
        <v>46</v>
      </c>
      <c r="Q250">
        <v>35.049999999999997</v>
      </c>
      <c r="R250">
        <v>3.5</v>
      </c>
      <c r="S250">
        <v>10.51</v>
      </c>
      <c r="T250">
        <v>10.51</v>
      </c>
      <c r="U250">
        <v>10.51</v>
      </c>
      <c r="V250" s="6">
        <v>5.8823529411764705E-2</v>
      </c>
      <c r="W250" s="6">
        <v>0.29411764705882354</v>
      </c>
      <c r="X250" s="6">
        <v>0.6470588235294118</v>
      </c>
      <c r="Y250" s="11">
        <f>VLOOKUP(G250,'[1]historico puntos 2022-2025'!$A$2:$G$19,7,0)</f>
        <v>40</v>
      </c>
      <c r="Z250" t="s">
        <v>38</v>
      </c>
      <c r="AA250">
        <f t="shared" si="11"/>
        <v>248</v>
      </c>
    </row>
    <row r="251" spans="1:27" hidden="1" x14ac:dyDescent="0.3">
      <c r="A251" t="str">
        <f t="shared" si="9"/>
        <v>2023-Mazatlán</v>
      </c>
      <c r="B251" t="str">
        <f t="shared" si="10"/>
        <v>2023-Toluca</v>
      </c>
      <c r="C251">
        <v>2023</v>
      </c>
      <c r="D251" t="s">
        <v>20</v>
      </c>
      <c r="E251" s="2">
        <v>1</v>
      </c>
      <c r="F251" s="2">
        <v>0</v>
      </c>
      <c r="G251" t="s">
        <v>2</v>
      </c>
      <c r="H251">
        <v>35.049999999999997</v>
      </c>
      <c r="I251">
        <v>3.5</v>
      </c>
      <c r="J251">
        <v>10.51</v>
      </c>
      <c r="K251">
        <v>10.51</v>
      </c>
      <c r="L251">
        <v>10.51</v>
      </c>
      <c r="M251" s="6">
        <v>0.29411764705882354</v>
      </c>
      <c r="N251" s="6">
        <v>0.47058823529411764</v>
      </c>
      <c r="O251" s="6">
        <v>0.23529411764705882</v>
      </c>
      <c r="P251" s="10">
        <v>40</v>
      </c>
      <c r="Q251">
        <v>66.2</v>
      </c>
      <c r="R251">
        <v>6.62</v>
      </c>
      <c r="S251">
        <v>19.86</v>
      </c>
      <c r="T251">
        <v>19.86</v>
      </c>
      <c r="U251">
        <v>19.86</v>
      </c>
      <c r="V251" s="6">
        <v>0.38095238095238093</v>
      </c>
      <c r="W251" s="6">
        <v>0.33333333333333331</v>
      </c>
      <c r="X251" s="6">
        <v>0.2857142857142857</v>
      </c>
      <c r="Y251" s="11">
        <f>VLOOKUP(G251,'[1]historico puntos 2022-2025'!$A$2:$G$19,7,0)</f>
        <v>118</v>
      </c>
      <c r="Z251" t="s">
        <v>38</v>
      </c>
      <c r="AA251">
        <f t="shared" si="11"/>
        <v>249</v>
      </c>
    </row>
    <row r="252" spans="1:27" hidden="1" x14ac:dyDescent="0.3">
      <c r="A252" t="str">
        <f t="shared" si="9"/>
        <v>2023-Necaxa</v>
      </c>
      <c r="B252" t="str">
        <f t="shared" si="10"/>
        <v>2023-Mazatlán</v>
      </c>
      <c r="C252">
        <v>2023</v>
      </c>
      <c r="D252" t="s">
        <v>4</v>
      </c>
      <c r="E252" s="2">
        <v>4</v>
      </c>
      <c r="F252" s="2">
        <v>0</v>
      </c>
      <c r="G252" t="s">
        <v>20</v>
      </c>
      <c r="H252">
        <v>40</v>
      </c>
      <c r="I252">
        <v>4</v>
      </c>
      <c r="J252">
        <v>12</v>
      </c>
      <c r="K252">
        <v>12</v>
      </c>
      <c r="L252">
        <v>12</v>
      </c>
      <c r="M252" s="6">
        <v>0.44444444444444442</v>
      </c>
      <c r="N252" s="6">
        <v>0.22222222222222221</v>
      </c>
      <c r="O252" s="6">
        <v>0.33333333333333331</v>
      </c>
      <c r="P252" s="10">
        <v>77</v>
      </c>
      <c r="Q252">
        <v>35.049999999999997</v>
      </c>
      <c r="R252">
        <v>3.5</v>
      </c>
      <c r="S252">
        <v>10.51</v>
      </c>
      <c r="T252">
        <v>10.51</v>
      </c>
      <c r="U252">
        <v>10.51</v>
      </c>
      <c r="V252" s="6">
        <v>5.8823529411764705E-2</v>
      </c>
      <c r="W252" s="6">
        <v>0.29411764705882354</v>
      </c>
      <c r="X252" s="6">
        <v>0.6470588235294118</v>
      </c>
      <c r="Y252" s="11">
        <f>VLOOKUP(G252,'[1]historico puntos 2022-2025'!$A$2:$G$19,7,0)</f>
        <v>40</v>
      </c>
      <c r="Z252" t="s">
        <v>38</v>
      </c>
      <c r="AA252">
        <f t="shared" si="11"/>
        <v>250</v>
      </c>
    </row>
    <row r="253" spans="1:27" hidden="1" x14ac:dyDescent="0.3">
      <c r="A253" t="str">
        <f t="shared" si="9"/>
        <v>2023-Mazatlán</v>
      </c>
      <c r="B253" t="str">
        <f t="shared" si="10"/>
        <v>2023-Santos Laguna</v>
      </c>
      <c r="C253">
        <v>2023</v>
      </c>
      <c r="D253" t="s">
        <v>20</v>
      </c>
      <c r="E253" s="2">
        <v>3</v>
      </c>
      <c r="F253" s="2">
        <v>1</v>
      </c>
      <c r="G253" t="s">
        <v>11</v>
      </c>
      <c r="H253">
        <v>35.049999999999997</v>
      </c>
      <c r="I253">
        <v>3.5</v>
      </c>
      <c r="J253">
        <v>10.51</v>
      </c>
      <c r="K253">
        <v>10.51</v>
      </c>
      <c r="L253">
        <v>10.51</v>
      </c>
      <c r="M253" s="6">
        <v>0.29411764705882354</v>
      </c>
      <c r="N253" s="6">
        <v>0.47058823529411764</v>
      </c>
      <c r="O253" s="6">
        <v>0.23529411764705882</v>
      </c>
      <c r="P253" s="10">
        <v>40</v>
      </c>
      <c r="Q253" t="s">
        <v>37</v>
      </c>
      <c r="R253" t="s">
        <v>37</v>
      </c>
      <c r="S253" t="s">
        <v>37</v>
      </c>
      <c r="T253" t="s">
        <v>37</v>
      </c>
      <c r="U253" t="s">
        <v>37</v>
      </c>
      <c r="V253" s="6">
        <v>0</v>
      </c>
      <c r="W253" s="6">
        <v>0.11764705882352941</v>
      </c>
      <c r="X253" s="6">
        <v>0.88235294117647056</v>
      </c>
      <c r="Y253" s="11">
        <f>VLOOKUP(G253,'[1]historico puntos 2022-2025'!$A$2:$G$19,7,0)</f>
        <v>46</v>
      </c>
      <c r="Z253" t="s">
        <v>38</v>
      </c>
      <c r="AA253">
        <f t="shared" si="11"/>
        <v>251</v>
      </c>
    </row>
    <row r="254" spans="1:27" hidden="1" x14ac:dyDescent="0.3">
      <c r="A254" t="str">
        <f t="shared" si="9"/>
        <v>2023-Mazatlán</v>
      </c>
      <c r="B254" t="str">
        <f t="shared" si="10"/>
        <v>2023-Querétaro</v>
      </c>
      <c r="C254">
        <v>2023</v>
      </c>
      <c r="D254" t="s">
        <v>20</v>
      </c>
      <c r="E254" s="2">
        <v>3</v>
      </c>
      <c r="F254" s="2">
        <v>0</v>
      </c>
      <c r="G254" t="s">
        <v>22</v>
      </c>
      <c r="H254">
        <v>35.049999999999997</v>
      </c>
      <c r="I254">
        <v>3.5</v>
      </c>
      <c r="J254">
        <v>10.51</v>
      </c>
      <c r="K254">
        <v>10.51</v>
      </c>
      <c r="L254">
        <v>10.51</v>
      </c>
      <c r="M254" s="6">
        <v>0.29411764705882354</v>
      </c>
      <c r="N254" s="6">
        <v>0.47058823529411764</v>
      </c>
      <c r="O254" s="6">
        <v>0.23529411764705882</v>
      </c>
      <c r="P254" s="10">
        <v>40</v>
      </c>
      <c r="Q254" t="s">
        <v>37</v>
      </c>
      <c r="R254" t="s">
        <v>37</v>
      </c>
      <c r="S254" t="s">
        <v>37</v>
      </c>
      <c r="T254" t="s">
        <v>37</v>
      </c>
      <c r="U254" t="s">
        <v>37</v>
      </c>
      <c r="V254" s="6">
        <v>0.17647058823529413</v>
      </c>
      <c r="W254" s="6">
        <v>0.17647058823529413</v>
      </c>
      <c r="X254" s="6">
        <v>0.6470588235294118</v>
      </c>
      <c r="Y254" s="11">
        <f>VLOOKUP(G254,'[1]historico puntos 2022-2025'!$A$2:$G$19,7,0)</f>
        <v>64</v>
      </c>
      <c r="Z254" t="s">
        <v>38</v>
      </c>
      <c r="AA254">
        <f t="shared" si="11"/>
        <v>252</v>
      </c>
    </row>
    <row r="255" spans="1:27" hidden="1" x14ac:dyDescent="0.3">
      <c r="A255" t="str">
        <f t="shared" si="9"/>
        <v>2023-Mazatlán</v>
      </c>
      <c r="B255" t="str">
        <f t="shared" si="10"/>
        <v>2023-América</v>
      </c>
      <c r="C255">
        <v>2023</v>
      </c>
      <c r="D255" t="s">
        <v>20</v>
      </c>
      <c r="E255" s="2">
        <v>1</v>
      </c>
      <c r="F255" s="2">
        <v>2</v>
      </c>
      <c r="G255" t="s">
        <v>14</v>
      </c>
      <c r="H255">
        <v>35.049999999999997</v>
      </c>
      <c r="I255">
        <v>3.5</v>
      </c>
      <c r="J255">
        <v>10.51</v>
      </c>
      <c r="K255">
        <v>10.51</v>
      </c>
      <c r="L255">
        <v>10.51</v>
      </c>
      <c r="M255" s="6">
        <v>0.29411764705882354</v>
      </c>
      <c r="N255" s="6">
        <v>0.47058823529411764</v>
      </c>
      <c r="O255" s="6">
        <v>0.23529411764705882</v>
      </c>
      <c r="P255" s="10">
        <v>40</v>
      </c>
      <c r="Q255">
        <v>84.2</v>
      </c>
      <c r="R255">
        <v>8.42</v>
      </c>
      <c r="S255">
        <v>25.26</v>
      </c>
      <c r="T255">
        <v>25.26</v>
      </c>
      <c r="U255">
        <v>25.26</v>
      </c>
      <c r="V255" s="6">
        <v>0.375</v>
      </c>
      <c r="W255" s="6">
        <v>0.29166666666666669</v>
      </c>
      <c r="X255" s="6">
        <v>0.33333333333333331</v>
      </c>
      <c r="Y255" s="11">
        <f>VLOOKUP(G255,'[1]historico puntos 2022-2025'!$A$2:$G$19,7,0)</f>
        <v>133</v>
      </c>
      <c r="Z255" t="s">
        <v>40</v>
      </c>
      <c r="AA255">
        <f t="shared" si="11"/>
        <v>253</v>
      </c>
    </row>
    <row r="256" spans="1:27" hidden="1" x14ac:dyDescent="0.3">
      <c r="A256" t="str">
        <f t="shared" si="9"/>
        <v>2023-Mazatlán</v>
      </c>
      <c r="B256" t="str">
        <f t="shared" si="10"/>
        <v>2023-Tigres</v>
      </c>
      <c r="C256">
        <v>2023</v>
      </c>
      <c r="D256" t="s">
        <v>20</v>
      </c>
      <c r="E256" s="2">
        <v>2</v>
      </c>
      <c r="F256" s="2">
        <v>3</v>
      </c>
      <c r="G256" t="s">
        <v>17</v>
      </c>
      <c r="H256">
        <v>35.049999999999997</v>
      </c>
      <c r="I256">
        <v>3.5</v>
      </c>
      <c r="J256">
        <v>10.51</v>
      </c>
      <c r="K256">
        <v>10.51</v>
      </c>
      <c r="L256">
        <v>10.51</v>
      </c>
      <c r="M256" s="6">
        <v>0.29411764705882354</v>
      </c>
      <c r="N256" s="6">
        <v>0.47058823529411764</v>
      </c>
      <c r="O256" s="6">
        <v>0.23529411764705882</v>
      </c>
      <c r="P256" s="10">
        <v>40</v>
      </c>
      <c r="Q256" t="s">
        <v>37</v>
      </c>
      <c r="R256" t="s">
        <v>37</v>
      </c>
      <c r="S256" t="s">
        <v>37</v>
      </c>
      <c r="T256" t="s">
        <v>37</v>
      </c>
      <c r="U256" t="s">
        <v>37</v>
      </c>
      <c r="V256" s="6">
        <v>0.3</v>
      </c>
      <c r="W256" s="6">
        <v>0.3</v>
      </c>
      <c r="X256" s="6">
        <v>0.4</v>
      </c>
      <c r="Y256" s="11">
        <f>VLOOKUP(G256,'[1]historico puntos 2022-2025'!$A$2:$G$19,7,0)</f>
        <v>107</v>
      </c>
      <c r="Z256" t="s">
        <v>40</v>
      </c>
      <c r="AA256">
        <f t="shared" si="11"/>
        <v>254</v>
      </c>
    </row>
    <row r="257" spans="1:27" hidden="1" x14ac:dyDescent="0.3">
      <c r="A257" t="str">
        <f t="shared" si="9"/>
        <v>2023-Chivas</v>
      </c>
      <c r="B257" t="str">
        <f t="shared" si="10"/>
        <v>2023-Mazatlán</v>
      </c>
      <c r="C257">
        <v>2023</v>
      </c>
      <c r="D257" t="s">
        <v>21</v>
      </c>
      <c r="E257" s="2">
        <v>1</v>
      </c>
      <c r="F257" s="2">
        <v>3</v>
      </c>
      <c r="G257" t="s">
        <v>20</v>
      </c>
      <c r="H257">
        <v>69.7</v>
      </c>
      <c r="I257">
        <v>6.97</v>
      </c>
      <c r="J257">
        <v>20.91</v>
      </c>
      <c r="K257">
        <v>20.91</v>
      </c>
      <c r="L257">
        <v>20.91</v>
      </c>
      <c r="M257" s="6">
        <v>0.44444444444444442</v>
      </c>
      <c r="N257" s="6">
        <v>0.33333333333333331</v>
      </c>
      <c r="O257" s="6">
        <v>0.22222222222222221</v>
      </c>
      <c r="P257" s="10">
        <v>99</v>
      </c>
      <c r="Q257">
        <v>35.049999999999997</v>
      </c>
      <c r="R257">
        <v>3.5</v>
      </c>
      <c r="S257">
        <v>10.51</v>
      </c>
      <c r="T257">
        <v>10.51</v>
      </c>
      <c r="U257">
        <v>10.51</v>
      </c>
      <c r="V257" s="6">
        <v>5.8823529411764705E-2</v>
      </c>
      <c r="W257" s="6">
        <v>0.29411764705882354</v>
      </c>
      <c r="X257" s="6">
        <v>0.6470588235294118</v>
      </c>
      <c r="Y257" s="11">
        <f>VLOOKUP(G257,'[1]historico puntos 2022-2025'!$A$2:$G$19,7,0)</f>
        <v>40</v>
      </c>
      <c r="Z257" t="s">
        <v>40</v>
      </c>
      <c r="AA257">
        <f t="shared" si="11"/>
        <v>255</v>
      </c>
    </row>
    <row r="258" spans="1:27" hidden="1" x14ac:dyDescent="0.3">
      <c r="A258" t="str">
        <f t="shared" si="9"/>
        <v>2023-Atlético San Luis</v>
      </c>
      <c r="B258" t="str">
        <f t="shared" si="10"/>
        <v>2023-Mazatlán</v>
      </c>
      <c r="C258">
        <v>2023</v>
      </c>
      <c r="D258" t="s">
        <v>15</v>
      </c>
      <c r="E258" s="2">
        <v>3</v>
      </c>
      <c r="F258" s="2">
        <v>2</v>
      </c>
      <c r="G258" t="s">
        <v>20</v>
      </c>
      <c r="H258">
        <v>35.85</v>
      </c>
      <c r="I258">
        <v>3.59</v>
      </c>
      <c r="J258">
        <v>10.77</v>
      </c>
      <c r="K258">
        <v>10.77</v>
      </c>
      <c r="L258">
        <v>10.77</v>
      </c>
      <c r="M258" s="6">
        <v>0.68421052631578949</v>
      </c>
      <c r="N258" s="6">
        <v>5.2631578947368418E-2</v>
      </c>
      <c r="O258" s="6">
        <v>0.26315789473684209</v>
      </c>
      <c r="P258" s="10">
        <v>59</v>
      </c>
      <c r="Q258">
        <v>35.049999999999997</v>
      </c>
      <c r="R258">
        <v>3.5</v>
      </c>
      <c r="S258">
        <v>10.51</v>
      </c>
      <c r="T258">
        <v>10.51</v>
      </c>
      <c r="U258">
        <v>10.51</v>
      </c>
      <c r="V258" s="6">
        <v>5.8823529411764705E-2</v>
      </c>
      <c r="W258" s="6">
        <v>0.29411764705882354</v>
      </c>
      <c r="X258" s="6">
        <v>0.6470588235294118</v>
      </c>
      <c r="Y258" s="11">
        <f>VLOOKUP(G258,'[1]historico puntos 2022-2025'!$A$2:$G$19,7,0)</f>
        <v>40</v>
      </c>
      <c r="Z258" t="s">
        <v>38</v>
      </c>
      <c r="AA258">
        <f t="shared" si="11"/>
        <v>256</v>
      </c>
    </row>
    <row r="259" spans="1:27" hidden="1" x14ac:dyDescent="0.3">
      <c r="A259" t="str">
        <f t="shared" ref="A259:A322" si="12">C259&amp;"-"&amp;D259</f>
        <v>2023-Mazatlán</v>
      </c>
      <c r="B259" t="str">
        <f t="shared" ref="B259:B322" si="13">C259&amp;"-"&amp;G259</f>
        <v>2023-Cruz Azul</v>
      </c>
      <c r="C259">
        <v>2023</v>
      </c>
      <c r="D259" t="s">
        <v>20</v>
      </c>
      <c r="E259" s="2">
        <v>2</v>
      </c>
      <c r="F259" s="2">
        <v>2</v>
      </c>
      <c r="G259" t="s">
        <v>10</v>
      </c>
      <c r="H259">
        <v>35.049999999999997</v>
      </c>
      <c r="I259">
        <v>3.5</v>
      </c>
      <c r="J259">
        <v>10.51</v>
      </c>
      <c r="K259">
        <v>10.51</v>
      </c>
      <c r="L259">
        <v>10.51</v>
      </c>
      <c r="M259" s="6">
        <v>0.29411764705882354</v>
      </c>
      <c r="N259" s="6">
        <v>0.47058823529411764</v>
      </c>
      <c r="O259" s="6">
        <v>0.23529411764705882</v>
      </c>
      <c r="P259" s="10">
        <v>40</v>
      </c>
      <c r="Q259">
        <v>72.2</v>
      </c>
      <c r="R259">
        <v>7.22</v>
      </c>
      <c r="S259">
        <v>21.66</v>
      </c>
      <c r="T259">
        <v>21.66</v>
      </c>
      <c r="U259">
        <v>21.66</v>
      </c>
      <c r="V259" s="6">
        <v>0.52380952380952384</v>
      </c>
      <c r="W259" s="6">
        <v>0.23809523809523808</v>
      </c>
      <c r="X259" s="6">
        <v>0.23809523809523808</v>
      </c>
      <c r="Y259" s="11">
        <f>VLOOKUP(G259,'[1]historico puntos 2022-2025'!$A$2:$G$19,7,0)</f>
        <v>107</v>
      </c>
      <c r="Z259" t="s">
        <v>39</v>
      </c>
      <c r="AA259">
        <f t="shared" si="11"/>
        <v>257</v>
      </c>
    </row>
    <row r="260" spans="1:27" hidden="1" x14ac:dyDescent="0.3">
      <c r="A260" t="str">
        <f t="shared" si="12"/>
        <v>2023-Juarez</v>
      </c>
      <c r="B260" t="str">
        <f t="shared" si="13"/>
        <v>2023-Mazatlán</v>
      </c>
      <c r="C260">
        <v>2023</v>
      </c>
      <c r="D260" t="s">
        <v>18</v>
      </c>
      <c r="E260" s="2">
        <v>3</v>
      </c>
      <c r="F260" s="2">
        <v>1</v>
      </c>
      <c r="G260" t="s">
        <v>20</v>
      </c>
      <c r="H260" t="s">
        <v>37</v>
      </c>
      <c r="I260" t="s">
        <v>37</v>
      </c>
      <c r="J260" t="s">
        <v>37</v>
      </c>
      <c r="K260" t="s">
        <v>37</v>
      </c>
      <c r="L260" t="s">
        <v>37</v>
      </c>
      <c r="M260" s="6">
        <v>0.27777777777777779</v>
      </c>
      <c r="N260" s="6">
        <v>0.33333333333333331</v>
      </c>
      <c r="O260" s="6">
        <v>0.3888888888888889</v>
      </c>
      <c r="P260" s="10">
        <v>55</v>
      </c>
      <c r="Q260">
        <v>35.049999999999997</v>
      </c>
      <c r="R260">
        <v>3.5</v>
      </c>
      <c r="S260">
        <v>10.51</v>
      </c>
      <c r="T260">
        <v>10.51</v>
      </c>
      <c r="U260">
        <v>10.51</v>
      </c>
      <c r="V260" s="6">
        <v>5.8823529411764705E-2</v>
      </c>
      <c r="W260" s="6">
        <v>0.29411764705882354</v>
      </c>
      <c r="X260" s="6">
        <v>0.6470588235294118</v>
      </c>
      <c r="Y260" s="11">
        <f>VLOOKUP(G260,'[1]historico puntos 2022-2025'!$A$2:$G$19,7,0)</f>
        <v>40</v>
      </c>
      <c r="Z260" t="s">
        <v>38</v>
      </c>
      <c r="AA260">
        <f t="shared" ref="AA260:AA323" si="14">AA259+1</f>
        <v>258</v>
      </c>
    </row>
    <row r="261" spans="1:27" hidden="1" x14ac:dyDescent="0.3">
      <c r="A261" t="str">
        <f t="shared" si="12"/>
        <v>2023-Xolos</v>
      </c>
      <c r="B261" t="str">
        <f t="shared" si="13"/>
        <v>2023-Mazatlán</v>
      </c>
      <c r="C261">
        <v>2023</v>
      </c>
      <c r="D261" t="s">
        <v>19</v>
      </c>
      <c r="E261" s="2">
        <v>1</v>
      </c>
      <c r="F261" s="2">
        <v>1</v>
      </c>
      <c r="G261" t="s">
        <v>20</v>
      </c>
      <c r="H261">
        <v>38.299999999999997</v>
      </c>
      <c r="I261">
        <v>3.83</v>
      </c>
      <c r="J261">
        <v>11.49</v>
      </c>
      <c r="K261">
        <v>11.49</v>
      </c>
      <c r="L261">
        <v>11.49</v>
      </c>
      <c r="M261" s="6">
        <v>0.55000000000000004</v>
      </c>
      <c r="N261" s="6">
        <v>0.15</v>
      </c>
      <c r="O261" s="6">
        <v>0.3</v>
      </c>
      <c r="P261" s="10">
        <v>49</v>
      </c>
      <c r="Q261">
        <v>35.049999999999997</v>
      </c>
      <c r="R261">
        <v>3.5</v>
      </c>
      <c r="S261">
        <v>10.51</v>
      </c>
      <c r="T261">
        <v>10.51</v>
      </c>
      <c r="U261">
        <v>10.51</v>
      </c>
      <c r="V261" s="6">
        <v>5.8823529411764705E-2</v>
      </c>
      <c r="W261" s="6">
        <v>0.29411764705882354</v>
      </c>
      <c r="X261" s="6">
        <v>0.6470588235294118</v>
      </c>
      <c r="Y261" s="11">
        <f>VLOOKUP(G261,'[1]historico puntos 2022-2025'!$A$2:$G$19,7,0)</f>
        <v>40</v>
      </c>
      <c r="Z261" t="s">
        <v>39</v>
      </c>
      <c r="AA261">
        <f t="shared" si="14"/>
        <v>259</v>
      </c>
    </row>
    <row r="262" spans="1:27" hidden="1" x14ac:dyDescent="0.3">
      <c r="A262" t="str">
        <f t="shared" si="12"/>
        <v>2023-León</v>
      </c>
      <c r="B262" t="str">
        <f t="shared" si="13"/>
        <v>2023-Mazatlán</v>
      </c>
      <c r="C262">
        <v>2023</v>
      </c>
      <c r="D262" t="s">
        <v>36</v>
      </c>
      <c r="E262" s="2">
        <v>2</v>
      </c>
      <c r="F262" s="2">
        <v>1</v>
      </c>
      <c r="G262" t="s">
        <v>20</v>
      </c>
      <c r="H262">
        <v>41.5</v>
      </c>
      <c r="I262">
        <v>4.1500000000000004</v>
      </c>
      <c r="J262">
        <v>12.45</v>
      </c>
      <c r="K262">
        <v>12.45</v>
      </c>
      <c r="L262">
        <v>12.45</v>
      </c>
      <c r="M262" s="6">
        <v>0.3888888888888889</v>
      </c>
      <c r="N262" s="6">
        <v>0.3888888888888889</v>
      </c>
      <c r="O262" s="6">
        <v>0.22222222222222221</v>
      </c>
      <c r="P262" s="10">
        <v>87</v>
      </c>
      <c r="Q262">
        <v>35.049999999999997</v>
      </c>
      <c r="R262">
        <v>3.5</v>
      </c>
      <c r="S262">
        <v>10.51</v>
      </c>
      <c r="T262">
        <v>10.51</v>
      </c>
      <c r="U262">
        <v>10.51</v>
      </c>
      <c r="V262" s="6">
        <v>5.8823529411764705E-2</v>
      </c>
      <c r="W262" s="6">
        <v>0.29411764705882354</v>
      </c>
      <c r="X262" s="6">
        <v>0.6470588235294118</v>
      </c>
      <c r="Y262" s="11">
        <f>VLOOKUP(G262,'[1]historico puntos 2022-2025'!$A$2:$G$19,7,0)</f>
        <v>40</v>
      </c>
      <c r="Z262" t="s">
        <v>38</v>
      </c>
      <c r="AA262">
        <f t="shared" si="14"/>
        <v>260</v>
      </c>
    </row>
    <row r="263" spans="1:27" hidden="1" x14ac:dyDescent="0.3">
      <c r="A263" t="str">
        <f t="shared" si="12"/>
        <v>2023-Pumas</v>
      </c>
      <c r="B263" t="str">
        <f t="shared" si="13"/>
        <v>2023-Mazatlán</v>
      </c>
      <c r="C263">
        <v>2023</v>
      </c>
      <c r="D263" t="s">
        <v>16</v>
      </c>
      <c r="E263" s="2">
        <v>0</v>
      </c>
      <c r="F263" s="2">
        <v>0</v>
      </c>
      <c r="G263" t="s">
        <v>20</v>
      </c>
      <c r="H263" t="s">
        <v>37</v>
      </c>
      <c r="I263" t="s">
        <v>37</v>
      </c>
      <c r="J263" t="s">
        <v>37</v>
      </c>
      <c r="K263" t="s">
        <v>37</v>
      </c>
      <c r="L263" t="s">
        <v>37</v>
      </c>
      <c r="M263" s="6">
        <v>0.5</v>
      </c>
      <c r="N263" s="6">
        <v>0.16666666666666666</v>
      </c>
      <c r="O263" s="6">
        <v>0.33333333333333331</v>
      </c>
      <c r="P263" s="10">
        <v>75</v>
      </c>
      <c r="Q263">
        <v>35.049999999999997</v>
      </c>
      <c r="R263">
        <v>3.5</v>
      </c>
      <c r="S263">
        <v>10.51</v>
      </c>
      <c r="T263">
        <v>10.51</v>
      </c>
      <c r="U263">
        <v>10.51</v>
      </c>
      <c r="V263" s="6">
        <v>5.8823529411764705E-2</v>
      </c>
      <c r="W263" s="6">
        <v>0.29411764705882354</v>
      </c>
      <c r="X263" s="6">
        <v>0.6470588235294118</v>
      </c>
      <c r="Y263" s="11">
        <f>VLOOKUP(G263,'[1]historico puntos 2022-2025'!$A$2:$G$19,7,0)</f>
        <v>40</v>
      </c>
      <c r="Z263" t="s">
        <v>39</v>
      </c>
      <c r="AA263">
        <f t="shared" si="14"/>
        <v>261</v>
      </c>
    </row>
    <row r="264" spans="1:27" hidden="1" x14ac:dyDescent="0.3">
      <c r="A264" t="str">
        <f t="shared" si="12"/>
        <v>2023-Mazatlán</v>
      </c>
      <c r="B264" t="str">
        <f t="shared" si="13"/>
        <v>2023-Pachuca</v>
      </c>
      <c r="C264">
        <v>2023</v>
      </c>
      <c r="D264" t="s">
        <v>20</v>
      </c>
      <c r="E264" s="2">
        <v>1</v>
      </c>
      <c r="F264" s="2">
        <v>1</v>
      </c>
      <c r="G264" t="s">
        <v>0</v>
      </c>
      <c r="H264">
        <v>35.049999999999997</v>
      </c>
      <c r="I264">
        <v>3.5</v>
      </c>
      <c r="J264">
        <v>10.51</v>
      </c>
      <c r="K264">
        <v>10.51</v>
      </c>
      <c r="L264">
        <v>10.51</v>
      </c>
      <c r="M264" s="6">
        <v>0.29411764705882354</v>
      </c>
      <c r="N264" s="6">
        <v>0.47058823529411764</v>
      </c>
      <c r="O264" s="6">
        <v>0.23529411764705882</v>
      </c>
      <c r="P264" s="10">
        <v>40</v>
      </c>
      <c r="Q264">
        <v>51.25</v>
      </c>
      <c r="R264">
        <v>5.13</v>
      </c>
      <c r="S264">
        <v>15.38</v>
      </c>
      <c r="T264">
        <v>15.38</v>
      </c>
      <c r="U264">
        <v>15.38</v>
      </c>
      <c r="V264" s="6">
        <v>0.26315789473684209</v>
      </c>
      <c r="W264" s="6">
        <v>0.15789473684210525</v>
      </c>
      <c r="X264" s="6">
        <v>0.57894736842105265</v>
      </c>
      <c r="Y264" s="11">
        <f>VLOOKUP(G264,'[1]historico puntos 2022-2025'!$A$2:$G$19,7,0)</f>
        <v>98</v>
      </c>
      <c r="Z264" t="s">
        <v>39</v>
      </c>
      <c r="AA264">
        <f t="shared" si="14"/>
        <v>262</v>
      </c>
    </row>
    <row r="265" spans="1:27" hidden="1" x14ac:dyDescent="0.3">
      <c r="A265" t="str">
        <f t="shared" si="12"/>
        <v>2024-Cruz Azul</v>
      </c>
      <c r="B265" t="str">
        <f t="shared" si="13"/>
        <v>2024-Monterrey</v>
      </c>
      <c r="C265">
        <v>2024</v>
      </c>
      <c r="D265" t="s">
        <v>10</v>
      </c>
      <c r="E265" s="2">
        <v>1</v>
      </c>
      <c r="F265" s="2">
        <v>2</v>
      </c>
      <c r="G265" t="s">
        <v>3</v>
      </c>
      <c r="H265">
        <v>78.849999999999994</v>
      </c>
      <c r="I265">
        <v>7.89</v>
      </c>
      <c r="J265">
        <v>23.66</v>
      </c>
      <c r="K265">
        <v>23.66</v>
      </c>
      <c r="L265">
        <v>23.66</v>
      </c>
      <c r="M265" s="6">
        <v>0.7142857142857143</v>
      </c>
      <c r="N265" s="6">
        <v>0.23809523809523808</v>
      </c>
      <c r="O265" s="6">
        <v>4.7619047619047616E-2</v>
      </c>
      <c r="P265" s="10">
        <v>107</v>
      </c>
      <c r="Q265">
        <v>88.6</v>
      </c>
      <c r="R265">
        <v>8.86</v>
      </c>
      <c r="S265">
        <v>26.58</v>
      </c>
      <c r="T265">
        <v>26.58</v>
      </c>
      <c r="U265">
        <v>26.58</v>
      </c>
      <c r="V265" s="6">
        <v>0.38095238095238093</v>
      </c>
      <c r="W265" s="6">
        <v>0.23809523809523808</v>
      </c>
      <c r="X265" s="6">
        <v>0.38095238095238093</v>
      </c>
      <c r="Y265" s="11">
        <f>VLOOKUP(G265,'[1]historico puntos 2022-2025'!$A$2:$G$19,7,0)</f>
        <v>118</v>
      </c>
      <c r="Z265" t="s">
        <v>40</v>
      </c>
      <c r="AA265">
        <f t="shared" si="14"/>
        <v>263</v>
      </c>
    </row>
    <row r="266" spans="1:27" hidden="1" x14ac:dyDescent="0.3">
      <c r="A266" t="str">
        <f t="shared" si="12"/>
        <v>2024-Monterrey</v>
      </c>
      <c r="B266" t="str">
        <f t="shared" si="13"/>
        <v>2024-Cruz Azul</v>
      </c>
      <c r="C266">
        <v>2024</v>
      </c>
      <c r="D266" t="s">
        <v>3</v>
      </c>
      <c r="E266" s="2">
        <v>0</v>
      </c>
      <c r="F266" s="2">
        <v>1</v>
      </c>
      <c r="G266" t="s">
        <v>10</v>
      </c>
      <c r="H266">
        <v>88.6</v>
      </c>
      <c r="I266">
        <v>8.86</v>
      </c>
      <c r="J266">
        <v>26.58</v>
      </c>
      <c r="K266">
        <v>26.58</v>
      </c>
      <c r="L266">
        <v>26.58</v>
      </c>
      <c r="M266" s="6">
        <v>0.60869565217391308</v>
      </c>
      <c r="N266" s="6">
        <v>0.17391304347826086</v>
      </c>
      <c r="O266" s="6">
        <v>0.21739130434782608</v>
      </c>
      <c r="P266" s="10">
        <v>118</v>
      </c>
      <c r="Q266">
        <v>78.849999999999994</v>
      </c>
      <c r="R266">
        <v>7.89</v>
      </c>
      <c r="S266">
        <v>23.66</v>
      </c>
      <c r="T266">
        <v>23.66</v>
      </c>
      <c r="U266">
        <v>23.66</v>
      </c>
      <c r="V266" s="6">
        <v>0.52380952380952384</v>
      </c>
      <c r="W266" s="6">
        <v>0.23809523809523808</v>
      </c>
      <c r="X266" s="6">
        <v>0.23809523809523808</v>
      </c>
      <c r="Y266" s="11">
        <f>VLOOKUP(G266,'[1]historico puntos 2022-2025'!$A$2:$G$19,7,0)</f>
        <v>107</v>
      </c>
      <c r="Z266" t="s">
        <v>40</v>
      </c>
      <c r="AA266">
        <f t="shared" si="14"/>
        <v>264</v>
      </c>
    </row>
    <row r="267" spans="1:27" hidden="1" x14ac:dyDescent="0.3">
      <c r="A267" t="str">
        <f t="shared" si="12"/>
        <v>2024-Monterrey</v>
      </c>
      <c r="B267" t="str">
        <f t="shared" si="13"/>
        <v>2024-Tigres</v>
      </c>
      <c r="C267">
        <v>2024</v>
      </c>
      <c r="D267" t="s">
        <v>3</v>
      </c>
      <c r="E267" s="2">
        <v>1</v>
      </c>
      <c r="F267" s="2">
        <v>1</v>
      </c>
      <c r="G267" t="s">
        <v>17</v>
      </c>
      <c r="H267">
        <v>88.6</v>
      </c>
      <c r="I267">
        <v>8.86</v>
      </c>
      <c r="J267">
        <v>26.58</v>
      </c>
      <c r="K267">
        <v>26.58</v>
      </c>
      <c r="L267">
        <v>26.58</v>
      </c>
      <c r="M267" s="6">
        <v>0.60869565217391308</v>
      </c>
      <c r="N267" s="6">
        <v>0.17391304347826086</v>
      </c>
      <c r="O267" s="6">
        <v>0.21739130434782608</v>
      </c>
      <c r="P267" s="10">
        <v>118</v>
      </c>
      <c r="Q267" t="s">
        <v>37</v>
      </c>
      <c r="R267" t="s">
        <v>37</v>
      </c>
      <c r="S267" t="s">
        <v>37</v>
      </c>
      <c r="T267" t="s">
        <v>37</v>
      </c>
      <c r="U267" t="s">
        <v>37</v>
      </c>
      <c r="V267" s="6">
        <v>0.3</v>
      </c>
      <c r="W267" s="6">
        <v>0.3</v>
      </c>
      <c r="X267" s="6">
        <v>0.4</v>
      </c>
      <c r="Y267" s="11">
        <f>VLOOKUP(G267,'[1]historico puntos 2022-2025'!$A$2:$G$19,7,0)</f>
        <v>107</v>
      </c>
      <c r="Z267" t="s">
        <v>39</v>
      </c>
      <c r="AA267">
        <f t="shared" si="14"/>
        <v>265</v>
      </c>
    </row>
    <row r="268" spans="1:27" x14ac:dyDescent="0.3">
      <c r="A268" t="str">
        <f t="shared" si="12"/>
        <v>2024-Tigres</v>
      </c>
      <c r="B268" t="str">
        <f t="shared" si="13"/>
        <v>2024-Monterrey</v>
      </c>
      <c r="C268">
        <v>2024</v>
      </c>
      <c r="D268" t="s">
        <v>17</v>
      </c>
      <c r="E268" s="2">
        <v>1</v>
      </c>
      <c r="F268" s="2">
        <v>2</v>
      </c>
      <c r="G268" t="s">
        <v>3</v>
      </c>
      <c r="H268">
        <v>67</v>
      </c>
      <c r="I268">
        <v>6.7</v>
      </c>
      <c r="J268">
        <v>20.100000000000001</v>
      </c>
      <c r="K268">
        <v>20.100000000000001</v>
      </c>
      <c r="L268">
        <v>20.100000000000001</v>
      </c>
      <c r="M268" s="6">
        <v>0.7</v>
      </c>
      <c r="N268" s="6">
        <v>0.25</v>
      </c>
      <c r="O268" s="6">
        <v>0.05</v>
      </c>
      <c r="P268" s="10">
        <v>107</v>
      </c>
      <c r="Q268">
        <v>88.6</v>
      </c>
      <c r="R268">
        <v>8.86</v>
      </c>
      <c r="S268">
        <v>26.58</v>
      </c>
      <c r="T268">
        <v>26.58</v>
      </c>
      <c r="U268">
        <v>26.58</v>
      </c>
      <c r="V268" s="6">
        <v>0.38095238095238093</v>
      </c>
      <c r="W268" s="6">
        <v>0.23809523809523808</v>
      </c>
      <c r="X268" s="6">
        <v>0.38095238095238093</v>
      </c>
      <c r="Y268" s="11">
        <f>VLOOKUP(G268,'[1]historico puntos 2022-2025'!$A$2:$G$19,7,0)</f>
        <v>118</v>
      </c>
      <c r="Z268" t="s">
        <v>40</v>
      </c>
      <c r="AA268">
        <f t="shared" si="14"/>
        <v>266</v>
      </c>
    </row>
    <row r="269" spans="1:27" hidden="1" x14ac:dyDescent="0.3">
      <c r="A269" t="str">
        <f t="shared" si="12"/>
        <v>2024-León</v>
      </c>
      <c r="B269" t="str">
        <f t="shared" si="13"/>
        <v>2024-Monterrey</v>
      </c>
      <c r="C269">
        <v>2024</v>
      </c>
      <c r="D269" t="s">
        <v>36</v>
      </c>
      <c r="E269" s="2">
        <v>2</v>
      </c>
      <c r="F269" s="2">
        <v>0</v>
      </c>
      <c r="G269" t="s">
        <v>3</v>
      </c>
      <c r="H269">
        <v>29.55</v>
      </c>
      <c r="I269">
        <v>2.96</v>
      </c>
      <c r="J269">
        <v>8.8699999999999992</v>
      </c>
      <c r="K269">
        <v>8.8699999999999992</v>
      </c>
      <c r="L269">
        <v>8.8699999999999992</v>
      </c>
      <c r="M269" s="6">
        <v>0.3888888888888889</v>
      </c>
      <c r="N269" s="6">
        <v>0.3888888888888889</v>
      </c>
      <c r="O269" s="6">
        <v>0.22222222222222221</v>
      </c>
      <c r="P269" s="10">
        <v>87</v>
      </c>
      <c r="Q269">
        <v>88.6</v>
      </c>
      <c r="R269">
        <v>8.86</v>
      </c>
      <c r="S269">
        <v>26.58</v>
      </c>
      <c r="T269">
        <v>26.58</v>
      </c>
      <c r="U269">
        <v>26.58</v>
      </c>
      <c r="V269" s="6">
        <v>0.38095238095238093</v>
      </c>
      <c r="W269" s="6">
        <v>0.23809523809523808</v>
      </c>
      <c r="X269" s="6">
        <v>0.38095238095238093</v>
      </c>
      <c r="Y269" s="11">
        <f>VLOOKUP(G269,'[1]historico puntos 2022-2025'!$A$2:$G$19,7,0)</f>
        <v>118</v>
      </c>
      <c r="Z269" t="s">
        <v>38</v>
      </c>
      <c r="AA269">
        <f t="shared" si="14"/>
        <v>267</v>
      </c>
    </row>
    <row r="270" spans="1:27" hidden="1" x14ac:dyDescent="0.3">
      <c r="A270" t="str">
        <f t="shared" si="12"/>
        <v>2024-Monterrey</v>
      </c>
      <c r="B270" t="str">
        <f t="shared" si="13"/>
        <v>2024-Tigres</v>
      </c>
      <c r="C270">
        <v>2024</v>
      </c>
      <c r="D270" t="s">
        <v>3</v>
      </c>
      <c r="E270" s="2">
        <v>3</v>
      </c>
      <c r="F270" s="2">
        <v>3</v>
      </c>
      <c r="G270" t="s">
        <v>17</v>
      </c>
      <c r="H270">
        <v>88.6</v>
      </c>
      <c r="I270">
        <v>8.86</v>
      </c>
      <c r="J270">
        <v>26.58</v>
      </c>
      <c r="K270">
        <v>26.58</v>
      </c>
      <c r="L270">
        <v>26.58</v>
      </c>
      <c r="M270" s="6">
        <v>0.60869565217391308</v>
      </c>
      <c r="N270" s="6">
        <v>0.17391304347826086</v>
      </c>
      <c r="O270" s="6">
        <v>0.21739130434782608</v>
      </c>
      <c r="P270" s="10">
        <v>118</v>
      </c>
      <c r="Q270" t="s">
        <v>37</v>
      </c>
      <c r="R270" t="s">
        <v>37</v>
      </c>
      <c r="S270" t="s">
        <v>37</v>
      </c>
      <c r="T270" t="s">
        <v>37</v>
      </c>
      <c r="U270" t="s">
        <v>37</v>
      </c>
      <c r="V270" s="6">
        <v>0.3</v>
      </c>
      <c r="W270" s="6">
        <v>0.3</v>
      </c>
      <c r="X270" s="6">
        <v>0.4</v>
      </c>
      <c r="Y270" s="11">
        <f>VLOOKUP(G270,'[1]historico puntos 2022-2025'!$A$2:$G$19,7,0)</f>
        <v>107</v>
      </c>
      <c r="Z270" t="s">
        <v>39</v>
      </c>
      <c r="AA270">
        <f t="shared" si="14"/>
        <v>268</v>
      </c>
    </row>
    <row r="271" spans="1:27" hidden="1" x14ac:dyDescent="0.3">
      <c r="A271" t="str">
        <f t="shared" si="12"/>
        <v>2024-Cruz Azul</v>
      </c>
      <c r="B271" t="str">
        <f t="shared" si="13"/>
        <v>2024-Monterrey</v>
      </c>
      <c r="C271">
        <v>2024</v>
      </c>
      <c r="D271" t="s">
        <v>10</v>
      </c>
      <c r="E271" s="2">
        <v>2</v>
      </c>
      <c r="F271" s="2">
        <v>1</v>
      </c>
      <c r="G271" t="s">
        <v>3</v>
      </c>
      <c r="H271">
        <v>78.849999999999994</v>
      </c>
      <c r="I271">
        <v>7.89</v>
      </c>
      <c r="J271">
        <v>23.66</v>
      </c>
      <c r="K271">
        <v>23.66</v>
      </c>
      <c r="L271">
        <v>23.66</v>
      </c>
      <c r="M271" s="6">
        <v>0.7142857142857143</v>
      </c>
      <c r="N271" s="6">
        <v>0.23809523809523808</v>
      </c>
      <c r="O271" s="6">
        <v>4.7619047619047616E-2</v>
      </c>
      <c r="P271" s="10">
        <v>107</v>
      </c>
      <c r="Q271">
        <v>88.6</v>
      </c>
      <c r="R271">
        <v>8.86</v>
      </c>
      <c r="S271">
        <v>26.58</v>
      </c>
      <c r="T271">
        <v>26.58</v>
      </c>
      <c r="U271">
        <v>26.58</v>
      </c>
      <c r="V271" s="6">
        <v>0.38095238095238093</v>
      </c>
      <c r="W271" s="6">
        <v>0.23809523809523808</v>
      </c>
      <c r="X271" s="6">
        <v>0.38095238095238093</v>
      </c>
      <c r="Y271" s="11">
        <f>VLOOKUP(G271,'[1]historico puntos 2022-2025'!$A$2:$G$19,7,0)</f>
        <v>118</v>
      </c>
      <c r="Z271" t="s">
        <v>38</v>
      </c>
      <c r="AA271">
        <f t="shared" si="14"/>
        <v>269</v>
      </c>
    </row>
    <row r="272" spans="1:27" hidden="1" x14ac:dyDescent="0.3">
      <c r="A272" t="str">
        <f t="shared" si="12"/>
        <v>2024-Monterrey</v>
      </c>
      <c r="B272" t="str">
        <f t="shared" si="13"/>
        <v>2024-Mazatlán</v>
      </c>
      <c r="C272">
        <v>2024</v>
      </c>
      <c r="D272" t="s">
        <v>3</v>
      </c>
      <c r="E272" s="2">
        <v>2</v>
      </c>
      <c r="F272" s="2">
        <v>1</v>
      </c>
      <c r="G272" t="s">
        <v>20</v>
      </c>
      <c r="H272">
        <v>88.6</v>
      </c>
      <c r="I272">
        <v>8.86</v>
      </c>
      <c r="J272">
        <v>26.58</v>
      </c>
      <c r="K272">
        <v>26.58</v>
      </c>
      <c r="L272">
        <v>26.58</v>
      </c>
      <c r="M272" s="6">
        <v>0.60869565217391308</v>
      </c>
      <c r="N272" s="6">
        <v>0.17391304347826086</v>
      </c>
      <c r="O272" s="6">
        <v>0.21739130434782608</v>
      </c>
      <c r="P272" s="10">
        <v>118</v>
      </c>
      <c r="Q272">
        <v>31.45</v>
      </c>
      <c r="R272">
        <v>3.15</v>
      </c>
      <c r="S272">
        <v>9.44</v>
      </c>
      <c r="T272">
        <v>9.44</v>
      </c>
      <c r="U272">
        <v>9.44</v>
      </c>
      <c r="V272" s="6">
        <v>5.8823529411764705E-2</v>
      </c>
      <c r="W272" s="6">
        <v>0.29411764705882354</v>
      </c>
      <c r="X272" s="6">
        <v>0.6470588235294118</v>
      </c>
      <c r="Y272" s="11">
        <f>VLOOKUP(G272,'[1]historico puntos 2022-2025'!$A$2:$G$19,7,0)</f>
        <v>40</v>
      </c>
      <c r="Z272" t="s">
        <v>38</v>
      </c>
      <c r="AA272">
        <f t="shared" si="14"/>
        <v>270</v>
      </c>
    </row>
    <row r="273" spans="1:27" hidden="1" x14ac:dyDescent="0.3">
      <c r="A273" t="str">
        <f t="shared" si="12"/>
        <v>2024-Monterrey</v>
      </c>
      <c r="B273" t="str">
        <f t="shared" si="13"/>
        <v>2024-Pumas</v>
      </c>
      <c r="C273">
        <v>2024</v>
      </c>
      <c r="D273" t="s">
        <v>3</v>
      </c>
      <c r="E273" s="2">
        <v>3</v>
      </c>
      <c r="F273" s="2">
        <v>0</v>
      </c>
      <c r="G273" t="s">
        <v>16</v>
      </c>
      <c r="H273">
        <v>88.6</v>
      </c>
      <c r="I273">
        <v>8.86</v>
      </c>
      <c r="J273">
        <v>26.58</v>
      </c>
      <c r="K273">
        <v>26.58</v>
      </c>
      <c r="L273">
        <v>26.58</v>
      </c>
      <c r="M273" s="6">
        <v>0.60869565217391308</v>
      </c>
      <c r="N273" s="6">
        <v>0.17391304347826086</v>
      </c>
      <c r="O273" s="6">
        <v>0.21739130434782608</v>
      </c>
      <c r="P273" s="10">
        <v>118</v>
      </c>
      <c r="Q273">
        <v>47.6</v>
      </c>
      <c r="R273">
        <v>4.76</v>
      </c>
      <c r="S273">
        <v>14.28</v>
      </c>
      <c r="T273">
        <v>14.28</v>
      </c>
      <c r="U273">
        <v>14.28</v>
      </c>
      <c r="V273" s="6">
        <v>0.3</v>
      </c>
      <c r="W273" s="6">
        <v>0.25</v>
      </c>
      <c r="X273" s="6">
        <v>0.45</v>
      </c>
      <c r="Y273" s="11">
        <f>VLOOKUP(G273,'[1]historico puntos 2022-2025'!$A$2:$G$19,7,0)</f>
        <v>75</v>
      </c>
      <c r="Z273" t="s">
        <v>38</v>
      </c>
      <c r="AA273">
        <f t="shared" si="14"/>
        <v>271</v>
      </c>
    </row>
    <row r="274" spans="1:27" hidden="1" x14ac:dyDescent="0.3">
      <c r="A274" t="str">
        <f t="shared" si="12"/>
        <v>2024-Xolos</v>
      </c>
      <c r="B274" t="str">
        <f t="shared" si="13"/>
        <v>2024-Monterrey</v>
      </c>
      <c r="C274">
        <v>2024</v>
      </c>
      <c r="D274" t="s">
        <v>19</v>
      </c>
      <c r="E274" s="2">
        <v>1</v>
      </c>
      <c r="F274" s="2">
        <v>1</v>
      </c>
      <c r="G274" t="s">
        <v>3</v>
      </c>
      <c r="H274" t="s">
        <v>37</v>
      </c>
      <c r="I274" t="s">
        <v>37</v>
      </c>
      <c r="J274" t="s">
        <v>37</v>
      </c>
      <c r="K274" t="s">
        <v>37</v>
      </c>
      <c r="L274" t="s">
        <v>37</v>
      </c>
      <c r="M274" s="6">
        <v>0.55000000000000004</v>
      </c>
      <c r="N274" s="6">
        <v>0.15</v>
      </c>
      <c r="O274" s="6">
        <v>0.3</v>
      </c>
      <c r="P274" s="10">
        <v>49</v>
      </c>
      <c r="Q274">
        <v>88.6</v>
      </c>
      <c r="R274">
        <v>8.86</v>
      </c>
      <c r="S274">
        <v>26.58</v>
      </c>
      <c r="T274">
        <v>26.58</v>
      </c>
      <c r="U274">
        <v>26.58</v>
      </c>
      <c r="V274" s="6">
        <v>0.38095238095238093</v>
      </c>
      <c r="W274" s="6">
        <v>0.23809523809523808</v>
      </c>
      <c r="X274" s="6">
        <v>0.38095238095238093</v>
      </c>
      <c r="Y274" s="11">
        <f>VLOOKUP(G274,'[1]historico puntos 2022-2025'!$A$2:$G$19,7,0)</f>
        <v>118</v>
      </c>
      <c r="Z274" t="s">
        <v>39</v>
      </c>
      <c r="AA274">
        <f t="shared" si="14"/>
        <v>272</v>
      </c>
    </row>
    <row r="275" spans="1:27" hidden="1" x14ac:dyDescent="0.3">
      <c r="A275" t="str">
        <f t="shared" si="12"/>
        <v>2024-Juarez</v>
      </c>
      <c r="B275" t="str">
        <f t="shared" si="13"/>
        <v>2024-Monterrey</v>
      </c>
      <c r="C275">
        <v>2024</v>
      </c>
      <c r="D275" t="s">
        <v>18</v>
      </c>
      <c r="E275" s="2">
        <v>0</v>
      </c>
      <c r="F275" s="2">
        <v>3</v>
      </c>
      <c r="G275" t="s">
        <v>3</v>
      </c>
      <c r="H275" t="s">
        <v>37</v>
      </c>
      <c r="I275" t="s">
        <v>37</v>
      </c>
      <c r="J275" t="s">
        <v>37</v>
      </c>
      <c r="K275" t="s">
        <v>37</v>
      </c>
      <c r="L275" t="s">
        <v>37</v>
      </c>
      <c r="M275" s="6">
        <v>0.27777777777777779</v>
      </c>
      <c r="N275" s="6">
        <v>0.33333333333333331</v>
      </c>
      <c r="O275" s="6">
        <v>0.3888888888888889</v>
      </c>
      <c r="P275" s="10">
        <v>55</v>
      </c>
      <c r="Q275">
        <v>88.6</v>
      </c>
      <c r="R275">
        <v>8.86</v>
      </c>
      <c r="S275">
        <v>26.58</v>
      </c>
      <c r="T275">
        <v>26.58</v>
      </c>
      <c r="U275">
        <v>26.58</v>
      </c>
      <c r="V275" s="6">
        <v>0.38095238095238093</v>
      </c>
      <c r="W275" s="6">
        <v>0.23809523809523808</v>
      </c>
      <c r="X275" s="6">
        <v>0.38095238095238093</v>
      </c>
      <c r="Y275" s="11">
        <f>VLOOKUP(G275,'[1]historico puntos 2022-2025'!$A$2:$G$19,7,0)</f>
        <v>118</v>
      </c>
      <c r="Z275" t="s">
        <v>40</v>
      </c>
      <c r="AA275">
        <f t="shared" si="14"/>
        <v>273</v>
      </c>
    </row>
    <row r="276" spans="1:27" hidden="1" x14ac:dyDescent="0.3">
      <c r="A276" t="str">
        <f t="shared" si="12"/>
        <v>2024-Monterrey</v>
      </c>
      <c r="B276" t="str">
        <f t="shared" si="13"/>
        <v>2024-Toluca</v>
      </c>
      <c r="C276">
        <v>2024</v>
      </c>
      <c r="D276" t="s">
        <v>3</v>
      </c>
      <c r="E276" s="2">
        <v>0</v>
      </c>
      <c r="F276" s="2">
        <v>0</v>
      </c>
      <c r="G276" t="s">
        <v>2</v>
      </c>
      <c r="H276">
        <v>88.6</v>
      </c>
      <c r="I276">
        <v>8.86</v>
      </c>
      <c r="J276">
        <v>26.58</v>
      </c>
      <c r="K276">
        <v>26.58</v>
      </c>
      <c r="L276">
        <v>26.58</v>
      </c>
      <c r="M276" s="6">
        <v>0.60869565217391308</v>
      </c>
      <c r="N276" s="6">
        <v>0.17391304347826086</v>
      </c>
      <c r="O276" s="6">
        <v>0.21739130434782608</v>
      </c>
      <c r="P276" s="10">
        <v>118</v>
      </c>
      <c r="Q276">
        <v>77.45</v>
      </c>
      <c r="R276">
        <v>7.75</v>
      </c>
      <c r="S276">
        <v>23.24</v>
      </c>
      <c r="T276">
        <v>23.24</v>
      </c>
      <c r="U276">
        <v>23.24</v>
      </c>
      <c r="V276" s="6">
        <v>0.38095238095238093</v>
      </c>
      <c r="W276" s="6">
        <v>0.33333333333333331</v>
      </c>
      <c r="X276" s="6">
        <v>0.2857142857142857</v>
      </c>
      <c r="Y276" s="11">
        <f>VLOOKUP(G276,'[1]historico puntos 2022-2025'!$A$2:$G$19,7,0)</f>
        <v>118</v>
      </c>
      <c r="Z276" t="s">
        <v>39</v>
      </c>
      <c r="AA276">
        <f t="shared" si="14"/>
        <v>274</v>
      </c>
    </row>
    <row r="277" spans="1:27" hidden="1" x14ac:dyDescent="0.3">
      <c r="A277" t="str">
        <f t="shared" si="12"/>
        <v>2024-Monterrey</v>
      </c>
      <c r="B277" t="str">
        <f t="shared" si="13"/>
        <v>2024-Pachuca</v>
      </c>
      <c r="C277">
        <v>2024</v>
      </c>
      <c r="D277" t="s">
        <v>3</v>
      </c>
      <c r="E277" s="2">
        <v>3</v>
      </c>
      <c r="F277" s="2">
        <v>2</v>
      </c>
      <c r="G277" t="s">
        <v>0</v>
      </c>
      <c r="H277">
        <v>88.6</v>
      </c>
      <c r="I277">
        <v>8.86</v>
      </c>
      <c r="J277">
        <v>26.58</v>
      </c>
      <c r="K277">
        <v>26.58</v>
      </c>
      <c r="L277">
        <v>26.58</v>
      </c>
      <c r="M277" s="6">
        <v>0.60869565217391308</v>
      </c>
      <c r="N277" s="6">
        <v>0.17391304347826086</v>
      </c>
      <c r="O277" s="6">
        <v>0.21739130434782608</v>
      </c>
      <c r="P277" s="10">
        <v>118</v>
      </c>
      <c r="Q277">
        <v>56.6</v>
      </c>
      <c r="R277">
        <v>5.66</v>
      </c>
      <c r="S277">
        <v>16.98</v>
      </c>
      <c r="T277">
        <v>16.98</v>
      </c>
      <c r="U277">
        <v>16.98</v>
      </c>
      <c r="V277" s="6">
        <v>0.26315789473684209</v>
      </c>
      <c r="W277" s="6">
        <v>0.15789473684210525</v>
      </c>
      <c r="X277" s="6">
        <v>0.57894736842105265</v>
      </c>
      <c r="Y277" s="11">
        <f>VLOOKUP(G277,'[1]historico puntos 2022-2025'!$A$2:$G$19,7,0)</f>
        <v>98</v>
      </c>
      <c r="Z277" t="s">
        <v>38</v>
      </c>
      <c r="AA277">
        <f t="shared" si="14"/>
        <v>275</v>
      </c>
    </row>
    <row r="278" spans="1:27" hidden="1" x14ac:dyDescent="0.3">
      <c r="A278" t="str">
        <f t="shared" si="12"/>
        <v>2024-América</v>
      </c>
      <c r="B278" t="str">
        <f t="shared" si="13"/>
        <v>2024-Monterrey</v>
      </c>
      <c r="C278">
        <v>2024</v>
      </c>
      <c r="D278" t="s">
        <v>14</v>
      </c>
      <c r="E278" s="2">
        <v>1</v>
      </c>
      <c r="F278" s="2">
        <v>1</v>
      </c>
      <c r="G278" t="s">
        <v>3</v>
      </c>
      <c r="H278">
        <v>92.45</v>
      </c>
      <c r="I278">
        <v>9.25</v>
      </c>
      <c r="J278">
        <v>27.73</v>
      </c>
      <c r="K278">
        <v>27.73</v>
      </c>
      <c r="L278">
        <v>27.73</v>
      </c>
      <c r="M278" s="6">
        <v>0.65217391304347827</v>
      </c>
      <c r="N278" s="6">
        <v>0.21739130434782608</v>
      </c>
      <c r="O278" s="6">
        <v>0.13043478260869565</v>
      </c>
      <c r="P278" s="10">
        <v>133</v>
      </c>
      <c r="Q278">
        <v>88.6</v>
      </c>
      <c r="R278">
        <v>8.86</v>
      </c>
      <c r="S278">
        <v>26.58</v>
      </c>
      <c r="T278">
        <v>26.58</v>
      </c>
      <c r="U278">
        <v>26.58</v>
      </c>
      <c r="V278" s="6">
        <v>0.38095238095238093</v>
      </c>
      <c r="W278" s="6">
        <v>0.23809523809523808</v>
      </c>
      <c r="X278" s="6">
        <v>0.38095238095238093</v>
      </c>
      <c r="Y278" s="11">
        <f>VLOOKUP(G278,'[1]historico puntos 2022-2025'!$A$2:$G$19,7,0)</f>
        <v>118</v>
      </c>
      <c r="Z278" t="s">
        <v>39</v>
      </c>
      <c r="AA278">
        <f t="shared" si="14"/>
        <v>276</v>
      </c>
    </row>
    <row r="279" spans="1:27" hidden="1" x14ac:dyDescent="0.3">
      <c r="A279" t="str">
        <f t="shared" si="12"/>
        <v>2024-Monterrey</v>
      </c>
      <c r="B279" t="str">
        <f t="shared" si="13"/>
        <v>2024-Atlético San Luis</v>
      </c>
      <c r="C279">
        <v>2024</v>
      </c>
      <c r="D279" t="s">
        <v>3</v>
      </c>
      <c r="E279" s="2">
        <v>3</v>
      </c>
      <c r="F279" s="2">
        <v>1</v>
      </c>
      <c r="G279" t="s">
        <v>15</v>
      </c>
      <c r="H279">
        <v>88.6</v>
      </c>
      <c r="I279">
        <v>8.86</v>
      </c>
      <c r="J279">
        <v>26.58</v>
      </c>
      <c r="K279">
        <v>26.58</v>
      </c>
      <c r="L279">
        <v>26.58</v>
      </c>
      <c r="M279" s="6">
        <v>0.60869565217391308</v>
      </c>
      <c r="N279" s="6">
        <v>0.17391304347826086</v>
      </c>
      <c r="O279" s="6">
        <v>0.21739130434782608</v>
      </c>
      <c r="P279" s="10">
        <v>118</v>
      </c>
      <c r="Q279">
        <v>45.95</v>
      </c>
      <c r="R279">
        <v>4.5999999999999996</v>
      </c>
      <c r="S279">
        <v>13.84</v>
      </c>
      <c r="T279">
        <v>13.84</v>
      </c>
      <c r="U279">
        <v>13.84</v>
      </c>
      <c r="V279" s="6">
        <v>0.21052631578947367</v>
      </c>
      <c r="W279" s="6">
        <v>0.15789473684210525</v>
      </c>
      <c r="X279" s="6">
        <v>0.63157894736842102</v>
      </c>
      <c r="Y279" s="11">
        <f>VLOOKUP(G279,'[1]historico puntos 2022-2025'!$A$2:$G$19,7,0)</f>
        <v>59</v>
      </c>
      <c r="Z279" t="s">
        <v>38</v>
      </c>
      <c r="AA279">
        <f t="shared" si="14"/>
        <v>277</v>
      </c>
    </row>
    <row r="280" spans="1:27" hidden="1" x14ac:dyDescent="0.3">
      <c r="A280" t="str">
        <f t="shared" si="12"/>
        <v>2024-Monterrey</v>
      </c>
      <c r="B280" t="str">
        <f t="shared" si="13"/>
        <v>2024-Querétaro</v>
      </c>
      <c r="C280">
        <v>2024</v>
      </c>
      <c r="D280" t="s">
        <v>3</v>
      </c>
      <c r="E280" s="2">
        <v>1</v>
      </c>
      <c r="F280" s="2">
        <v>1</v>
      </c>
      <c r="G280" t="s">
        <v>22</v>
      </c>
      <c r="H280">
        <v>88.6</v>
      </c>
      <c r="I280">
        <v>8.86</v>
      </c>
      <c r="J280">
        <v>26.58</v>
      </c>
      <c r="K280">
        <v>26.58</v>
      </c>
      <c r="L280">
        <v>26.58</v>
      </c>
      <c r="M280" s="6">
        <v>0.60869565217391308</v>
      </c>
      <c r="N280" s="6">
        <v>0.17391304347826086</v>
      </c>
      <c r="O280" s="6">
        <v>0.21739130434782608</v>
      </c>
      <c r="P280" s="10">
        <v>118</v>
      </c>
      <c r="Q280" t="s">
        <v>37</v>
      </c>
      <c r="R280" t="s">
        <v>37</v>
      </c>
      <c r="S280" t="s">
        <v>37</v>
      </c>
      <c r="T280" t="s">
        <v>37</v>
      </c>
      <c r="U280" t="s">
        <v>37</v>
      </c>
      <c r="V280" s="6">
        <v>0.17647058823529413</v>
      </c>
      <c r="W280" s="6">
        <v>0.17647058823529413</v>
      </c>
      <c r="X280" s="6">
        <v>0.6470588235294118</v>
      </c>
      <c r="Y280" s="11">
        <f>VLOOKUP(G280,'[1]historico puntos 2022-2025'!$A$2:$G$19,7,0)</f>
        <v>64</v>
      </c>
      <c r="Z280" t="s">
        <v>39</v>
      </c>
      <c r="AA280">
        <f t="shared" si="14"/>
        <v>278</v>
      </c>
    </row>
    <row r="281" spans="1:27" hidden="1" x14ac:dyDescent="0.3">
      <c r="A281" t="str">
        <f t="shared" si="12"/>
        <v>2024-Santos Laguna</v>
      </c>
      <c r="B281" t="str">
        <f t="shared" si="13"/>
        <v>2024-Monterrey</v>
      </c>
      <c r="C281">
        <v>2024</v>
      </c>
      <c r="D281" t="s">
        <v>11</v>
      </c>
      <c r="E281" s="2">
        <v>0</v>
      </c>
      <c r="F281" s="2">
        <v>2</v>
      </c>
      <c r="G281" t="s">
        <v>3</v>
      </c>
      <c r="H281">
        <v>35.9</v>
      </c>
      <c r="I281">
        <v>3.59</v>
      </c>
      <c r="J281">
        <v>10.77</v>
      </c>
      <c r="K281">
        <v>10.77</v>
      </c>
      <c r="L281">
        <v>10.77</v>
      </c>
      <c r="M281" s="6">
        <v>0.23529411764705882</v>
      </c>
      <c r="N281" s="6">
        <v>0.17647058823529413</v>
      </c>
      <c r="O281" s="6">
        <v>0.58823529411764708</v>
      </c>
      <c r="P281" s="10">
        <v>46</v>
      </c>
      <c r="Q281">
        <v>88.6</v>
      </c>
      <c r="R281">
        <v>8.86</v>
      </c>
      <c r="S281">
        <v>26.58</v>
      </c>
      <c r="T281">
        <v>26.58</v>
      </c>
      <c r="U281">
        <v>26.58</v>
      </c>
      <c r="V281" s="6">
        <v>0.38095238095238093</v>
      </c>
      <c r="W281" s="6">
        <v>0.23809523809523808</v>
      </c>
      <c r="X281" s="6">
        <v>0.38095238095238093</v>
      </c>
      <c r="Y281" s="11">
        <f>VLOOKUP(G281,'[1]historico puntos 2022-2025'!$A$2:$G$19,7,0)</f>
        <v>118</v>
      </c>
      <c r="Z281" t="s">
        <v>40</v>
      </c>
      <c r="AA281">
        <f t="shared" si="14"/>
        <v>279</v>
      </c>
    </row>
    <row r="282" spans="1:27" hidden="1" x14ac:dyDescent="0.3">
      <c r="A282" t="str">
        <f t="shared" si="12"/>
        <v>2024-Monterrey</v>
      </c>
      <c r="B282" t="str">
        <f t="shared" si="13"/>
        <v>2024-Puebla</v>
      </c>
      <c r="C282">
        <v>2024</v>
      </c>
      <c r="D282" t="s">
        <v>3</v>
      </c>
      <c r="E282" s="2">
        <v>2</v>
      </c>
      <c r="F282" s="2">
        <v>0</v>
      </c>
      <c r="G282" t="s">
        <v>1</v>
      </c>
      <c r="H282">
        <v>88.6</v>
      </c>
      <c r="I282">
        <v>8.86</v>
      </c>
      <c r="J282">
        <v>26.58</v>
      </c>
      <c r="K282">
        <v>26.58</v>
      </c>
      <c r="L282">
        <v>26.58</v>
      </c>
      <c r="M282" s="6">
        <v>0.60869565217391308</v>
      </c>
      <c r="N282" s="6">
        <v>0.17391304347826086</v>
      </c>
      <c r="O282" s="6">
        <v>0.21739130434782608</v>
      </c>
      <c r="P282" s="10">
        <v>118</v>
      </c>
      <c r="Q282">
        <v>24.1</v>
      </c>
      <c r="R282">
        <v>2.41</v>
      </c>
      <c r="S282">
        <v>7.23</v>
      </c>
      <c r="T282">
        <v>7.23</v>
      </c>
      <c r="U282">
        <v>7.23</v>
      </c>
      <c r="V282" s="6">
        <v>0.11764705882352941</v>
      </c>
      <c r="W282" s="6">
        <v>0.17647058823529413</v>
      </c>
      <c r="X282" s="6">
        <v>0.70588235294117652</v>
      </c>
      <c r="Y282" s="11">
        <f>VLOOKUP(G282,'[1]historico puntos 2022-2025'!$A$2:$G$19,7,0)</f>
        <v>34</v>
      </c>
      <c r="Z282" t="s">
        <v>38</v>
      </c>
      <c r="AA282">
        <f t="shared" si="14"/>
        <v>280</v>
      </c>
    </row>
    <row r="283" spans="1:27" hidden="1" x14ac:dyDescent="0.3">
      <c r="A283" t="str">
        <f t="shared" si="12"/>
        <v>2023-Monterrey</v>
      </c>
      <c r="B283" t="str">
        <f t="shared" si="13"/>
        <v>2023-Atlético San Luis</v>
      </c>
      <c r="C283">
        <v>2023</v>
      </c>
      <c r="D283" t="s">
        <v>3</v>
      </c>
      <c r="E283" s="2">
        <v>1</v>
      </c>
      <c r="F283" s="2">
        <v>1</v>
      </c>
      <c r="G283" t="s">
        <v>15</v>
      </c>
      <c r="H283">
        <v>88.1</v>
      </c>
      <c r="I283">
        <v>8.81</v>
      </c>
      <c r="J283">
        <v>26.43</v>
      </c>
      <c r="K283">
        <v>26.43</v>
      </c>
      <c r="L283">
        <v>26.43</v>
      </c>
      <c r="M283" s="6">
        <v>0.60869565217391308</v>
      </c>
      <c r="N283" s="6">
        <v>0.17391304347826086</v>
      </c>
      <c r="O283" s="6">
        <v>0.21739130434782608</v>
      </c>
      <c r="P283" s="10">
        <v>118</v>
      </c>
      <c r="Q283">
        <v>35.85</v>
      </c>
      <c r="R283">
        <v>3.59</v>
      </c>
      <c r="S283">
        <v>10.77</v>
      </c>
      <c r="T283">
        <v>10.77</v>
      </c>
      <c r="U283">
        <v>10.77</v>
      </c>
      <c r="V283" s="6">
        <v>0.21052631578947367</v>
      </c>
      <c r="W283" s="6">
        <v>0.15789473684210525</v>
      </c>
      <c r="X283" s="6">
        <v>0.63157894736842102</v>
      </c>
      <c r="Y283" s="11">
        <f>VLOOKUP(G283,'[1]historico puntos 2022-2025'!$A$2:$G$19,7,0)</f>
        <v>59</v>
      </c>
      <c r="Z283" t="s">
        <v>39</v>
      </c>
      <c r="AA283">
        <f t="shared" si="14"/>
        <v>281</v>
      </c>
    </row>
    <row r="284" spans="1:27" hidden="1" x14ac:dyDescent="0.3">
      <c r="A284" t="str">
        <f t="shared" si="12"/>
        <v>2023-Atlético San Luis</v>
      </c>
      <c r="B284" t="str">
        <f t="shared" si="13"/>
        <v>2023-Monterrey</v>
      </c>
      <c r="C284">
        <v>2023</v>
      </c>
      <c r="D284" t="s">
        <v>15</v>
      </c>
      <c r="E284" s="2">
        <v>1</v>
      </c>
      <c r="F284" s="2">
        <v>0</v>
      </c>
      <c r="G284" t="s">
        <v>3</v>
      </c>
      <c r="H284">
        <v>35.85</v>
      </c>
      <c r="I284">
        <v>3.59</v>
      </c>
      <c r="J284">
        <v>10.77</v>
      </c>
      <c r="K284">
        <v>10.77</v>
      </c>
      <c r="L284">
        <v>10.77</v>
      </c>
      <c r="M284" s="6">
        <v>0.68421052631578949</v>
      </c>
      <c r="N284" s="6">
        <v>5.2631578947368418E-2</v>
      </c>
      <c r="O284" s="6">
        <v>0.26315789473684209</v>
      </c>
      <c r="P284" s="10">
        <v>59</v>
      </c>
      <c r="Q284">
        <v>88.1</v>
      </c>
      <c r="R284">
        <v>8.81</v>
      </c>
      <c r="S284">
        <v>26.43</v>
      </c>
      <c r="T284">
        <v>26.43</v>
      </c>
      <c r="U284">
        <v>26.43</v>
      </c>
      <c r="V284" s="6">
        <v>0.38095238095238093</v>
      </c>
      <c r="W284" s="6">
        <v>0.23809523809523808</v>
      </c>
      <c r="X284" s="6">
        <v>0.38095238095238093</v>
      </c>
      <c r="Y284" s="11">
        <f>VLOOKUP(G284,'[1]historico puntos 2022-2025'!$A$2:$G$19,7,0)</f>
        <v>118</v>
      </c>
      <c r="Z284" t="s">
        <v>38</v>
      </c>
      <c r="AA284">
        <f t="shared" si="14"/>
        <v>282</v>
      </c>
    </row>
    <row r="285" spans="1:27" hidden="1" x14ac:dyDescent="0.3">
      <c r="A285" t="str">
        <f t="shared" si="12"/>
        <v>2023-Querétaro</v>
      </c>
      <c r="B285" t="str">
        <f t="shared" si="13"/>
        <v>2023-Monterrey</v>
      </c>
      <c r="C285">
        <v>2023</v>
      </c>
      <c r="D285" t="s">
        <v>22</v>
      </c>
      <c r="E285" s="2">
        <v>0</v>
      </c>
      <c r="F285" s="2">
        <v>0</v>
      </c>
      <c r="G285" t="s">
        <v>3</v>
      </c>
      <c r="H285">
        <v>21.45</v>
      </c>
      <c r="I285">
        <v>2.14</v>
      </c>
      <c r="J285">
        <v>6.44</v>
      </c>
      <c r="K285">
        <v>6.44</v>
      </c>
      <c r="L285">
        <v>6.44</v>
      </c>
      <c r="M285" s="6">
        <v>0.35294117647058826</v>
      </c>
      <c r="N285" s="6">
        <v>0.11764705882352941</v>
      </c>
      <c r="O285" s="6">
        <v>0.52941176470588236</v>
      </c>
      <c r="P285" s="10">
        <v>64</v>
      </c>
      <c r="Q285">
        <v>88.1</v>
      </c>
      <c r="R285">
        <v>8.81</v>
      </c>
      <c r="S285">
        <v>26.43</v>
      </c>
      <c r="T285">
        <v>26.43</v>
      </c>
      <c r="U285">
        <v>26.43</v>
      </c>
      <c r="V285" s="6">
        <v>0.38095238095238093</v>
      </c>
      <c r="W285" s="6">
        <v>0.23809523809523808</v>
      </c>
      <c r="X285" s="6">
        <v>0.38095238095238093</v>
      </c>
      <c r="Y285" s="11">
        <f>VLOOKUP(G285,'[1]historico puntos 2022-2025'!$A$2:$G$19,7,0)</f>
        <v>118</v>
      </c>
      <c r="Z285" t="s">
        <v>39</v>
      </c>
      <c r="AA285">
        <f t="shared" si="14"/>
        <v>283</v>
      </c>
    </row>
    <row r="286" spans="1:27" hidden="1" x14ac:dyDescent="0.3">
      <c r="A286" t="str">
        <f t="shared" si="12"/>
        <v>2023-Monterrey</v>
      </c>
      <c r="B286" t="str">
        <f t="shared" si="13"/>
        <v>2023-Santos Laguna</v>
      </c>
      <c r="C286">
        <v>2023</v>
      </c>
      <c r="D286" t="s">
        <v>3</v>
      </c>
      <c r="E286" s="2">
        <v>3</v>
      </c>
      <c r="F286" s="2">
        <v>0</v>
      </c>
      <c r="G286" t="s">
        <v>11</v>
      </c>
      <c r="H286">
        <v>88.1</v>
      </c>
      <c r="I286">
        <v>8.81</v>
      </c>
      <c r="J286">
        <v>26.43</v>
      </c>
      <c r="K286">
        <v>26.43</v>
      </c>
      <c r="L286">
        <v>26.43</v>
      </c>
      <c r="M286" s="6">
        <v>0.60869565217391308</v>
      </c>
      <c r="N286" s="6">
        <v>0.17391304347826086</v>
      </c>
      <c r="O286" s="6">
        <v>0.21739130434782608</v>
      </c>
      <c r="P286" s="10">
        <v>118</v>
      </c>
      <c r="Q286" t="s">
        <v>37</v>
      </c>
      <c r="R286" t="s">
        <v>37</v>
      </c>
      <c r="S286" t="s">
        <v>37</v>
      </c>
      <c r="T286" t="s">
        <v>37</v>
      </c>
      <c r="U286" t="s">
        <v>37</v>
      </c>
      <c r="V286" s="6">
        <v>0</v>
      </c>
      <c r="W286" s="6">
        <v>0.11764705882352941</v>
      </c>
      <c r="X286" s="6">
        <v>0.88235294117647056</v>
      </c>
      <c r="Y286" s="11">
        <f>VLOOKUP(G286,'[1]historico puntos 2022-2025'!$A$2:$G$19,7,0)</f>
        <v>46</v>
      </c>
      <c r="Z286" t="s">
        <v>38</v>
      </c>
      <c r="AA286">
        <f t="shared" si="14"/>
        <v>284</v>
      </c>
    </row>
    <row r="287" spans="1:27" hidden="1" x14ac:dyDescent="0.3">
      <c r="A287" t="str">
        <f t="shared" si="12"/>
        <v>2023-Pachuca</v>
      </c>
      <c r="B287" t="str">
        <f t="shared" si="13"/>
        <v>2023-Monterrey</v>
      </c>
      <c r="C287">
        <v>2023</v>
      </c>
      <c r="D287" t="s">
        <v>0</v>
      </c>
      <c r="E287" s="2">
        <v>0</v>
      </c>
      <c r="F287" s="2">
        <v>2</v>
      </c>
      <c r="G287" t="s">
        <v>3</v>
      </c>
      <c r="H287">
        <v>51.25</v>
      </c>
      <c r="I287">
        <v>5.13</v>
      </c>
      <c r="J287">
        <v>15.38</v>
      </c>
      <c r="K287">
        <v>15.38</v>
      </c>
      <c r="L287">
        <v>15.38</v>
      </c>
      <c r="M287" s="6">
        <v>0.3888888888888889</v>
      </c>
      <c r="N287" s="6">
        <v>0.33333333333333331</v>
      </c>
      <c r="O287" s="6">
        <v>0.27777777777777779</v>
      </c>
      <c r="P287" s="10">
        <v>98</v>
      </c>
      <c r="Q287">
        <v>88.1</v>
      </c>
      <c r="R287">
        <v>8.81</v>
      </c>
      <c r="S287">
        <v>26.43</v>
      </c>
      <c r="T287">
        <v>26.43</v>
      </c>
      <c r="U287">
        <v>26.43</v>
      </c>
      <c r="V287" s="6">
        <v>0.38095238095238093</v>
      </c>
      <c r="W287" s="6">
        <v>0.23809523809523808</v>
      </c>
      <c r="X287" s="6">
        <v>0.38095238095238093</v>
      </c>
      <c r="Y287" s="11">
        <f>VLOOKUP(G287,'[1]historico puntos 2022-2025'!$A$2:$G$19,7,0)</f>
        <v>118</v>
      </c>
      <c r="Z287" t="s">
        <v>40</v>
      </c>
      <c r="AA287">
        <f t="shared" si="14"/>
        <v>285</v>
      </c>
    </row>
    <row r="288" spans="1:27" hidden="1" x14ac:dyDescent="0.3">
      <c r="A288" t="str">
        <f t="shared" si="12"/>
        <v>2023-Monterrey</v>
      </c>
      <c r="B288" t="str">
        <f t="shared" si="13"/>
        <v>2023-Necaxa</v>
      </c>
      <c r="C288">
        <v>2023</v>
      </c>
      <c r="D288" t="s">
        <v>3</v>
      </c>
      <c r="E288" s="2">
        <v>3</v>
      </c>
      <c r="F288" s="2">
        <v>0</v>
      </c>
      <c r="G288" t="s">
        <v>4</v>
      </c>
      <c r="H288">
        <v>88.1</v>
      </c>
      <c r="I288">
        <v>8.81</v>
      </c>
      <c r="J288">
        <v>26.43</v>
      </c>
      <c r="K288">
        <v>26.43</v>
      </c>
      <c r="L288">
        <v>26.43</v>
      </c>
      <c r="M288" s="6">
        <v>0.60869565217391308</v>
      </c>
      <c r="N288" s="6">
        <v>0.17391304347826086</v>
      </c>
      <c r="O288" s="6">
        <v>0.21739130434782608</v>
      </c>
      <c r="P288" s="10">
        <v>118</v>
      </c>
      <c r="Q288">
        <v>40</v>
      </c>
      <c r="R288">
        <v>4</v>
      </c>
      <c r="S288">
        <v>12</v>
      </c>
      <c r="T288">
        <v>12</v>
      </c>
      <c r="U288">
        <v>12</v>
      </c>
      <c r="V288" s="6">
        <v>0.27777777777777779</v>
      </c>
      <c r="W288" s="6">
        <v>0.27777777777777779</v>
      </c>
      <c r="X288" s="6">
        <v>0.44444444444444442</v>
      </c>
      <c r="Y288" s="11">
        <f>VLOOKUP(G288,'[1]historico puntos 2022-2025'!$A$2:$G$19,7,0)</f>
        <v>77</v>
      </c>
      <c r="Z288" t="s">
        <v>38</v>
      </c>
      <c r="AA288">
        <f t="shared" si="14"/>
        <v>286</v>
      </c>
    </row>
    <row r="289" spans="1:27" hidden="1" x14ac:dyDescent="0.3">
      <c r="A289" t="str">
        <f t="shared" si="12"/>
        <v>2023-Monterrey</v>
      </c>
      <c r="B289" t="str">
        <f t="shared" si="13"/>
        <v>2023-Xolos</v>
      </c>
      <c r="C289">
        <v>2023</v>
      </c>
      <c r="D289" t="s">
        <v>3</v>
      </c>
      <c r="E289" s="2">
        <v>3</v>
      </c>
      <c r="F289" s="2">
        <v>1</v>
      </c>
      <c r="G289" t="s">
        <v>19</v>
      </c>
      <c r="H289">
        <v>88.1</v>
      </c>
      <c r="I289">
        <v>8.81</v>
      </c>
      <c r="J289">
        <v>26.43</v>
      </c>
      <c r="K289">
        <v>26.43</v>
      </c>
      <c r="L289">
        <v>26.43</v>
      </c>
      <c r="M289" s="6">
        <v>0.60869565217391308</v>
      </c>
      <c r="N289" s="6">
        <v>0.17391304347826086</v>
      </c>
      <c r="O289" s="6">
        <v>0.21739130434782608</v>
      </c>
      <c r="P289" s="10">
        <v>118</v>
      </c>
      <c r="Q289" t="s">
        <v>37</v>
      </c>
      <c r="R289" t="s">
        <v>37</v>
      </c>
      <c r="S289" t="s">
        <v>37</v>
      </c>
      <c r="T289" t="s">
        <v>37</v>
      </c>
      <c r="U289" t="s">
        <v>37</v>
      </c>
      <c r="V289" s="6">
        <v>0.27777777777777779</v>
      </c>
      <c r="W289" s="6">
        <v>0.22222222222222221</v>
      </c>
      <c r="X289" s="6">
        <v>0.5</v>
      </c>
      <c r="Y289" s="11">
        <f>VLOOKUP(G289,'[1]historico puntos 2022-2025'!$A$2:$G$19,7,0)</f>
        <v>49</v>
      </c>
      <c r="Z289" t="s">
        <v>38</v>
      </c>
      <c r="AA289">
        <f t="shared" si="14"/>
        <v>287</v>
      </c>
    </row>
    <row r="290" spans="1:27" hidden="1" x14ac:dyDescent="0.3">
      <c r="A290" t="str">
        <f t="shared" si="12"/>
        <v>2023-Pumas</v>
      </c>
      <c r="B290" t="str">
        <f t="shared" si="13"/>
        <v>2023-Monterrey</v>
      </c>
      <c r="C290">
        <v>2023</v>
      </c>
      <c r="D290" t="s">
        <v>16</v>
      </c>
      <c r="E290" s="2">
        <v>0</v>
      </c>
      <c r="F290" s="2">
        <v>1</v>
      </c>
      <c r="G290" t="s">
        <v>3</v>
      </c>
      <c r="H290" t="s">
        <v>37</v>
      </c>
      <c r="I290" t="s">
        <v>37</v>
      </c>
      <c r="J290" t="s">
        <v>37</v>
      </c>
      <c r="K290" t="s">
        <v>37</v>
      </c>
      <c r="L290" t="s">
        <v>37</v>
      </c>
      <c r="M290" s="6">
        <v>0.5</v>
      </c>
      <c r="N290" s="6">
        <v>0.16666666666666666</v>
      </c>
      <c r="O290" s="6">
        <v>0.33333333333333331</v>
      </c>
      <c r="P290" s="10">
        <v>75</v>
      </c>
      <c r="Q290">
        <v>88.1</v>
      </c>
      <c r="R290">
        <v>8.81</v>
      </c>
      <c r="S290">
        <v>26.43</v>
      </c>
      <c r="T290">
        <v>26.43</v>
      </c>
      <c r="U290">
        <v>26.43</v>
      </c>
      <c r="V290" s="6">
        <v>0.38095238095238093</v>
      </c>
      <c r="W290" s="6">
        <v>0.23809523809523808</v>
      </c>
      <c r="X290" s="6">
        <v>0.38095238095238093</v>
      </c>
      <c r="Y290" s="11">
        <f>VLOOKUP(G290,'[1]historico puntos 2022-2025'!$A$2:$G$19,7,0)</f>
        <v>118</v>
      </c>
      <c r="Z290" t="s">
        <v>40</v>
      </c>
      <c r="AA290">
        <f t="shared" si="14"/>
        <v>288</v>
      </c>
    </row>
    <row r="291" spans="1:27" hidden="1" x14ac:dyDescent="0.3">
      <c r="A291" t="str">
        <f t="shared" si="12"/>
        <v>2023-Monterrey</v>
      </c>
      <c r="B291" t="str">
        <f t="shared" si="13"/>
        <v>2023-Juarez</v>
      </c>
      <c r="C291">
        <v>2023</v>
      </c>
      <c r="D291" t="s">
        <v>3</v>
      </c>
      <c r="E291" s="2">
        <v>3</v>
      </c>
      <c r="F291" s="2">
        <v>1</v>
      </c>
      <c r="G291" t="s">
        <v>18</v>
      </c>
      <c r="H291">
        <v>88.1</v>
      </c>
      <c r="I291">
        <v>8.81</v>
      </c>
      <c r="J291">
        <v>26.43</v>
      </c>
      <c r="K291">
        <v>26.43</v>
      </c>
      <c r="L291">
        <v>26.43</v>
      </c>
      <c r="M291" s="6">
        <v>0.60869565217391308</v>
      </c>
      <c r="N291" s="6">
        <v>0.17391304347826086</v>
      </c>
      <c r="O291" s="6">
        <v>0.21739130434782608</v>
      </c>
      <c r="P291" s="10">
        <v>118</v>
      </c>
      <c r="Q291" t="s">
        <v>37</v>
      </c>
      <c r="R291" t="s">
        <v>37</v>
      </c>
      <c r="S291" t="s">
        <v>37</v>
      </c>
      <c r="T291" t="s">
        <v>37</v>
      </c>
      <c r="U291" t="s">
        <v>37</v>
      </c>
      <c r="V291" s="6">
        <v>0.35294117647058826</v>
      </c>
      <c r="W291" s="6">
        <v>0.17647058823529413</v>
      </c>
      <c r="X291" s="6">
        <v>0.47058823529411764</v>
      </c>
      <c r="Y291" s="11">
        <f>VLOOKUP(G291,'[1]historico puntos 2022-2025'!$A$2:$G$19,7,0)</f>
        <v>55</v>
      </c>
      <c r="Z291" t="s">
        <v>38</v>
      </c>
      <c r="AA291">
        <f t="shared" si="14"/>
        <v>289</v>
      </c>
    </row>
    <row r="292" spans="1:27" hidden="1" x14ac:dyDescent="0.3">
      <c r="A292" t="str">
        <f t="shared" si="12"/>
        <v>2023-Puebla</v>
      </c>
      <c r="B292" t="str">
        <f t="shared" si="13"/>
        <v>2023-Monterrey</v>
      </c>
      <c r="C292">
        <v>2023</v>
      </c>
      <c r="D292" t="s">
        <v>1</v>
      </c>
      <c r="E292" s="2">
        <v>1</v>
      </c>
      <c r="F292" s="2">
        <v>1</v>
      </c>
      <c r="G292" t="s">
        <v>3</v>
      </c>
      <c r="H292">
        <v>26.7</v>
      </c>
      <c r="I292">
        <v>2.67</v>
      </c>
      <c r="J292">
        <v>8.01</v>
      </c>
      <c r="K292">
        <v>8.01</v>
      </c>
      <c r="L292">
        <v>8.01</v>
      </c>
      <c r="M292" s="6">
        <v>0.23529411764705882</v>
      </c>
      <c r="N292" s="6">
        <v>0.11764705882352941</v>
      </c>
      <c r="O292" s="6">
        <v>0.6470588235294118</v>
      </c>
      <c r="P292" s="10">
        <v>34</v>
      </c>
      <c r="Q292">
        <v>88.1</v>
      </c>
      <c r="R292">
        <v>8.81</v>
      </c>
      <c r="S292">
        <v>26.43</v>
      </c>
      <c r="T292">
        <v>26.43</v>
      </c>
      <c r="U292">
        <v>26.43</v>
      </c>
      <c r="V292" s="6">
        <v>0.38095238095238093</v>
      </c>
      <c r="W292" s="6">
        <v>0.23809523809523808</v>
      </c>
      <c r="X292" s="6">
        <v>0.38095238095238093</v>
      </c>
      <c r="Y292" s="11">
        <f>VLOOKUP(G292,'[1]historico puntos 2022-2025'!$A$2:$G$19,7,0)</f>
        <v>118</v>
      </c>
      <c r="Z292" t="s">
        <v>39</v>
      </c>
      <c r="AA292">
        <f t="shared" si="14"/>
        <v>290</v>
      </c>
    </row>
    <row r="293" spans="1:27" x14ac:dyDescent="0.3">
      <c r="A293" t="str">
        <f t="shared" si="12"/>
        <v>2023-Tigres</v>
      </c>
      <c r="B293" t="str">
        <f t="shared" si="13"/>
        <v>2023-Monterrey</v>
      </c>
      <c r="C293">
        <v>2023</v>
      </c>
      <c r="D293" t="s">
        <v>17</v>
      </c>
      <c r="E293" s="2">
        <v>3</v>
      </c>
      <c r="F293" s="2">
        <v>0</v>
      </c>
      <c r="G293" t="s">
        <v>3</v>
      </c>
      <c r="H293">
        <v>67.599999999999994</v>
      </c>
      <c r="I293">
        <v>6.76</v>
      </c>
      <c r="J293">
        <v>20.28</v>
      </c>
      <c r="K293">
        <v>20.28</v>
      </c>
      <c r="L293">
        <v>20.28</v>
      </c>
      <c r="M293" s="6">
        <v>0.7</v>
      </c>
      <c r="N293" s="6">
        <v>0.25</v>
      </c>
      <c r="O293" s="6">
        <v>0.05</v>
      </c>
      <c r="P293" s="10">
        <v>107</v>
      </c>
      <c r="Q293">
        <v>88.1</v>
      </c>
      <c r="R293">
        <v>8.81</v>
      </c>
      <c r="S293">
        <v>26.43</v>
      </c>
      <c r="T293">
        <v>26.43</v>
      </c>
      <c r="U293">
        <v>26.43</v>
      </c>
      <c r="V293" s="6">
        <v>0.38095238095238093</v>
      </c>
      <c r="W293" s="6">
        <v>0.23809523809523808</v>
      </c>
      <c r="X293" s="6">
        <v>0.38095238095238093</v>
      </c>
      <c r="Y293" s="11">
        <f>VLOOKUP(G293,'[1]historico puntos 2022-2025'!$A$2:$G$19,7,0)</f>
        <v>118</v>
      </c>
      <c r="Z293" t="s">
        <v>38</v>
      </c>
      <c r="AA293">
        <f t="shared" si="14"/>
        <v>291</v>
      </c>
    </row>
    <row r="294" spans="1:27" hidden="1" x14ac:dyDescent="0.3">
      <c r="A294" t="str">
        <f t="shared" si="12"/>
        <v>2023-Chivas</v>
      </c>
      <c r="B294" t="str">
        <f t="shared" si="13"/>
        <v>2023-Monterrey</v>
      </c>
      <c r="C294">
        <v>2023</v>
      </c>
      <c r="D294" t="s">
        <v>21</v>
      </c>
      <c r="E294" s="2">
        <v>1</v>
      </c>
      <c r="F294" s="2">
        <v>2</v>
      </c>
      <c r="G294" t="s">
        <v>3</v>
      </c>
      <c r="H294">
        <v>69.7</v>
      </c>
      <c r="I294">
        <v>6.97</v>
      </c>
      <c r="J294">
        <v>20.91</v>
      </c>
      <c r="K294">
        <v>20.91</v>
      </c>
      <c r="L294">
        <v>20.91</v>
      </c>
      <c r="M294" s="6">
        <v>0.44444444444444442</v>
      </c>
      <c r="N294" s="6">
        <v>0.33333333333333331</v>
      </c>
      <c r="O294" s="6">
        <v>0.22222222222222221</v>
      </c>
      <c r="P294" s="10">
        <v>99</v>
      </c>
      <c r="Q294">
        <v>88.1</v>
      </c>
      <c r="R294">
        <v>8.81</v>
      </c>
      <c r="S294">
        <v>26.43</v>
      </c>
      <c r="T294">
        <v>26.43</v>
      </c>
      <c r="U294">
        <v>26.43</v>
      </c>
      <c r="V294" s="6">
        <v>0.38095238095238093</v>
      </c>
      <c r="W294" s="6">
        <v>0.23809523809523808</v>
      </c>
      <c r="X294" s="6">
        <v>0.38095238095238093</v>
      </c>
      <c r="Y294" s="11">
        <f>VLOOKUP(G294,'[1]historico puntos 2022-2025'!$A$2:$G$19,7,0)</f>
        <v>118</v>
      </c>
      <c r="Z294" t="s">
        <v>40</v>
      </c>
      <c r="AA294">
        <f t="shared" si="14"/>
        <v>292</v>
      </c>
    </row>
    <row r="295" spans="1:27" hidden="1" x14ac:dyDescent="0.3">
      <c r="A295" t="str">
        <f t="shared" si="12"/>
        <v>2023-Toluca</v>
      </c>
      <c r="B295" t="str">
        <f t="shared" si="13"/>
        <v>2023-Monterrey</v>
      </c>
      <c r="C295">
        <v>2023</v>
      </c>
      <c r="D295" t="s">
        <v>2</v>
      </c>
      <c r="E295" s="2">
        <v>1</v>
      </c>
      <c r="F295" s="2">
        <v>0</v>
      </c>
      <c r="G295" t="s">
        <v>3</v>
      </c>
      <c r="H295">
        <v>66.2</v>
      </c>
      <c r="I295">
        <v>6.62</v>
      </c>
      <c r="J295">
        <v>19.86</v>
      </c>
      <c r="K295">
        <v>19.86</v>
      </c>
      <c r="L295">
        <v>19.86</v>
      </c>
      <c r="M295" s="6">
        <v>0.76190476190476186</v>
      </c>
      <c r="N295" s="6">
        <v>0.19047619047619047</v>
      </c>
      <c r="O295" s="6">
        <v>4.7619047619047616E-2</v>
      </c>
      <c r="P295" s="10">
        <v>118</v>
      </c>
      <c r="Q295">
        <v>88.1</v>
      </c>
      <c r="R295">
        <v>8.81</v>
      </c>
      <c r="S295">
        <v>26.43</v>
      </c>
      <c r="T295">
        <v>26.43</v>
      </c>
      <c r="U295">
        <v>26.43</v>
      </c>
      <c r="V295" s="6">
        <v>0.38095238095238093</v>
      </c>
      <c r="W295" s="6">
        <v>0.23809523809523808</v>
      </c>
      <c r="X295" s="6">
        <v>0.38095238095238093</v>
      </c>
      <c r="Y295" s="11">
        <f>VLOOKUP(G295,'[1]historico puntos 2022-2025'!$A$2:$G$19,7,0)</f>
        <v>118</v>
      </c>
      <c r="Z295" t="s">
        <v>38</v>
      </c>
      <c r="AA295">
        <f t="shared" si="14"/>
        <v>293</v>
      </c>
    </row>
    <row r="296" spans="1:27" hidden="1" x14ac:dyDescent="0.3">
      <c r="A296" t="str">
        <f t="shared" si="12"/>
        <v>2023-Monterrey</v>
      </c>
      <c r="B296" t="str">
        <f t="shared" si="13"/>
        <v>2023-Cruz Azul</v>
      </c>
      <c r="C296">
        <v>2023</v>
      </c>
      <c r="D296" t="s">
        <v>3</v>
      </c>
      <c r="E296" s="2">
        <v>1</v>
      </c>
      <c r="F296" s="2">
        <v>2</v>
      </c>
      <c r="G296" t="s">
        <v>10</v>
      </c>
      <c r="H296">
        <v>88.1</v>
      </c>
      <c r="I296">
        <v>8.81</v>
      </c>
      <c r="J296">
        <v>26.43</v>
      </c>
      <c r="K296">
        <v>26.43</v>
      </c>
      <c r="L296">
        <v>26.43</v>
      </c>
      <c r="M296" s="6">
        <v>0.60869565217391308</v>
      </c>
      <c r="N296" s="6">
        <v>0.17391304347826086</v>
      </c>
      <c r="O296" s="6">
        <v>0.21739130434782608</v>
      </c>
      <c r="P296" s="10">
        <v>118</v>
      </c>
      <c r="Q296">
        <v>72.2</v>
      </c>
      <c r="R296">
        <v>7.22</v>
      </c>
      <c r="S296">
        <v>21.66</v>
      </c>
      <c r="T296">
        <v>21.66</v>
      </c>
      <c r="U296">
        <v>21.66</v>
      </c>
      <c r="V296" s="6">
        <v>0.52380952380952384</v>
      </c>
      <c r="W296" s="6">
        <v>0.23809523809523808</v>
      </c>
      <c r="X296" s="6">
        <v>0.23809523809523808</v>
      </c>
      <c r="Y296" s="11">
        <f>VLOOKUP(G296,'[1]historico puntos 2022-2025'!$A$2:$G$19,7,0)</f>
        <v>107</v>
      </c>
      <c r="Z296" t="s">
        <v>40</v>
      </c>
      <c r="AA296">
        <f t="shared" si="14"/>
        <v>294</v>
      </c>
    </row>
    <row r="297" spans="1:27" hidden="1" x14ac:dyDescent="0.3">
      <c r="A297" t="str">
        <f t="shared" si="12"/>
        <v>2023-Monterrey</v>
      </c>
      <c r="B297" t="str">
        <f t="shared" si="13"/>
        <v>2023-Atlas</v>
      </c>
      <c r="C297">
        <v>2023</v>
      </c>
      <c r="D297" t="s">
        <v>3</v>
      </c>
      <c r="E297" s="2">
        <v>1</v>
      </c>
      <c r="F297" s="2">
        <v>0</v>
      </c>
      <c r="G297" t="s">
        <v>5</v>
      </c>
      <c r="H297">
        <v>88.1</v>
      </c>
      <c r="I297">
        <v>8.81</v>
      </c>
      <c r="J297">
        <v>26.43</v>
      </c>
      <c r="K297">
        <v>26.43</v>
      </c>
      <c r="L297">
        <v>26.43</v>
      </c>
      <c r="M297" s="6">
        <v>0.60869565217391308</v>
      </c>
      <c r="N297" s="6">
        <v>0.17391304347826086</v>
      </c>
      <c r="O297" s="6">
        <v>0.21739130434782608</v>
      </c>
      <c r="P297" s="10">
        <v>118</v>
      </c>
      <c r="Q297">
        <v>30.7</v>
      </c>
      <c r="R297">
        <v>3.07</v>
      </c>
      <c r="S297">
        <v>9.2100000000000009</v>
      </c>
      <c r="T297">
        <v>9.2100000000000009</v>
      </c>
      <c r="U297">
        <v>9.2100000000000009</v>
      </c>
      <c r="V297" s="6">
        <v>0.26315789473684209</v>
      </c>
      <c r="W297" s="6">
        <v>0.31578947368421051</v>
      </c>
      <c r="X297" s="6">
        <v>0.42105263157894735</v>
      </c>
      <c r="Y297" s="11">
        <f>VLOOKUP(G297,'[1]historico puntos 2022-2025'!$A$2:$G$19,7,0)</f>
        <v>60</v>
      </c>
      <c r="Z297" t="s">
        <v>38</v>
      </c>
      <c r="AA297">
        <f t="shared" si="14"/>
        <v>295</v>
      </c>
    </row>
    <row r="298" spans="1:27" hidden="1" x14ac:dyDescent="0.3">
      <c r="A298" t="str">
        <f t="shared" si="12"/>
        <v>2023-Atlético San Luis</v>
      </c>
      <c r="B298" t="str">
        <f t="shared" si="13"/>
        <v>2023-Monterrey</v>
      </c>
      <c r="C298">
        <v>2023</v>
      </c>
      <c r="D298" t="s">
        <v>15</v>
      </c>
      <c r="E298" s="2">
        <v>1</v>
      </c>
      <c r="F298" s="2">
        <v>1</v>
      </c>
      <c r="G298" t="s">
        <v>3</v>
      </c>
      <c r="H298">
        <v>35.85</v>
      </c>
      <c r="I298">
        <v>3.59</v>
      </c>
      <c r="J298">
        <v>10.77</v>
      </c>
      <c r="K298">
        <v>10.77</v>
      </c>
      <c r="L298">
        <v>10.77</v>
      </c>
      <c r="M298" s="6">
        <v>0.68421052631578949</v>
      </c>
      <c r="N298" s="6">
        <v>5.2631578947368418E-2</v>
      </c>
      <c r="O298" s="6">
        <v>0.26315789473684209</v>
      </c>
      <c r="P298" s="10">
        <v>59</v>
      </c>
      <c r="Q298">
        <v>88.1</v>
      </c>
      <c r="R298">
        <v>8.81</v>
      </c>
      <c r="S298">
        <v>26.43</v>
      </c>
      <c r="T298">
        <v>26.43</v>
      </c>
      <c r="U298">
        <v>26.43</v>
      </c>
      <c r="V298" s="6">
        <v>0.38095238095238093</v>
      </c>
      <c r="W298" s="6">
        <v>0.23809523809523808</v>
      </c>
      <c r="X298" s="6">
        <v>0.38095238095238093</v>
      </c>
      <c r="Y298" s="11">
        <f>VLOOKUP(G298,'[1]historico puntos 2022-2025'!$A$2:$G$19,7,0)</f>
        <v>118</v>
      </c>
      <c r="Z298" t="s">
        <v>39</v>
      </c>
      <c r="AA298">
        <f t="shared" si="14"/>
        <v>296</v>
      </c>
    </row>
    <row r="299" spans="1:27" hidden="1" x14ac:dyDescent="0.3">
      <c r="A299" t="str">
        <f t="shared" si="12"/>
        <v>2024-Necaxa</v>
      </c>
      <c r="B299" t="str">
        <f t="shared" si="13"/>
        <v>2024-Querétaro</v>
      </c>
      <c r="C299">
        <v>2024</v>
      </c>
      <c r="D299" t="s">
        <v>4</v>
      </c>
      <c r="E299" s="2">
        <v>1</v>
      </c>
      <c r="F299" s="2">
        <v>1</v>
      </c>
      <c r="G299" t="s">
        <v>22</v>
      </c>
      <c r="H299">
        <v>38.5</v>
      </c>
      <c r="I299">
        <v>3.85</v>
      </c>
      <c r="J299">
        <v>11.55</v>
      </c>
      <c r="K299">
        <v>11.55</v>
      </c>
      <c r="L299">
        <v>11.55</v>
      </c>
      <c r="M299" s="6">
        <v>0.44444444444444442</v>
      </c>
      <c r="N299" s="6">
        <v>0.22222222222222221</v>
      </c>
      <c r="O299" s="6">
        <v>0.33333333333333331</v>
      </c>
      <c r="P299" s="10">
        <v>77</v>
      </c>
      <c r="Q299" t="s">
        <v>37</v>
      </c>
      <c r="R299" t="s">
        <v>37</v>
      </c>
      <c r="S299" t="s">
        <v>37</v>
      </c>
      <c r="T299" t="s">
        <v>37</v>
      </c>
      <c r="U299" t="s">
        <v>37</v>
      </c>
      <c r="V299" s="6">
        <v>0.17647058823529413</v>
      </c>
      <c r="W299" s="6">
        <v>0.17647058823529413</v>
      </c>
      <c r="X299" s="6">
        <v>0.6470588235294118</v>
      </c>
      <c r="Y299" s="11">
        <f>VLOOKUP(G299,'[1]historico puntos 2022-2025'!$A$2:$G$19,7,0)</f>
        <v>64</v>
      </c>
      <c r="Z299" t="s">
        <v>39</v>
      </c>
      <c r="AA299">
        <f t="shared" si="14"/>
        <v>297</v>
      </c>
    </row>
    <row r="300" spans="1:27" x14ac:dyDescent="0.3">
      <c r="A300" t="str">
        <f t="shared" si="12"/>
        <v>2024-Tigres</v>
      </c>
      <c r="B300" t="str">
        <f t="shared" si="13"/>
        <v>2024-Necaxa</v>
      </c>
      <c r="C300">
        <v>2024</v>
      </c>
      <c r="D300" t="s">
        <v>17</v>
      </c>
      <c r="E300" s="2">
        <v>5</v>
      </c>
      <c r="F300" s="2">
        <v>2</v>
      </c>
      <c r="G300" t="s">
        <v>4</v>
      </c>
      <c r="H300">
        <v>67</v>
      </c>
      <c r="I300">
        <v>6.7</v>
      </c>
      <c r="J300">
        <v>20.100000000000001</v>
      </c>
      <c r="K300">
        <v>20.100000000000001</v>
      </c>
      <c r="L300">
        <v>20.100000000000001</v>
      </c>
      <c r="M300" s="6">
        <v>0.7</v>
      </c>
      <c r="N300" s="6">
        <v>0.25</v>
      </c>
      <c r="O300" s="6">
        <v>0.05</v>
      </c>
      <c r="P300" s="10">
        <v>107</v>
      </c>
      <c r="Q300">
        <v>38.5</v>
      </c>
      <c r="R300">
        <v>3.85</v>
      </c>
      <c r="S300">
        <v>11.55</v>
      </c>
      <c r="T300">
        <v>11.55</v>
      </c>
      <c r="U300">
        <v>11.55</v>
      </c>
      <c r="V300" s="6">
        <v>0.27777777777777779</v>
      </c>
      <c r="W300" s="6">
        <v>0.27777777777777779</v>
      </c>
      <c r="X300" s="6">
        <v>0.44444444444444442</v>
      </c>
      <c r="Y300" s="11">
        <f>VLOOKUP(G300,'[1]historico puntos 2022-2025'!$A$2:$G$19,7,0)</f>
        <v>77</v>
      </c>
      <c r="Z300" t="s">
        <v>38</v>
      </c>
      <c r="AA300">
        <f t="shared" si="14"/>
        <v>298</v>
      </c>
    </row>
    <row r="301" spans="1:27" hidden="1" x14ac:dyDescent="0.3">
      <c r="A301" t="str">
        <f t="shared" si="12"/>
        <v>2024-Necaxa</v>
      </c>
      <c r="B301" t="str">
        <f t="shared" si="13"/>
        <v>2024-Santos Laguna</v>
      </c>
      <c r="C301">
        <v>2024</v>
      </c>
      <c r="D301" t="s">
        <v>4</v>
      </c>
      <c r="E301" s="2">
        <v>2</v>
      </c>
      <c r="F301" s="2">
        <v>0</v>
      </c>
      <c r="G301" t="s">
        <v>11</v>
      </c>
      <c r="H301">
        <v>38.5</v>
      </c>
      <c r="I301">
        <v>3.85</v>
      </c>
      <c r="J301">
        <v>11.55</v>
      </c>
      <c r="K301">
        <v>11.55</v>
      </c>
      <c r="L301">
        <v>11.55</v>
      </c>
      <c r="M301" s="6">
        <v>0.44444444444444442</v>
      </c>
      <c r="N301" s="6">
        <v>0.22222222222222221</v>
      </c>
      <c r="O301" s="6">
        <v>0.33333333333333331</v>
      </c>
      <c r="P301" s="10">
        <v>77</v>
      </c>
      <c r="Q301" t="s">
        <v>37</v>
      </c>
      <c r="R301" t="s">
        <v>37</v>
      </c>
      <c r="S301" t="s">
        <v>37</v>
      </c>
      <c r="T301" t="s">
        <v>37</v>
      </c>
      <c r="U301" t="s">
        <v>37</v>
      </c>
      <c r="V301" s="6">
        <v>0</v>
      </c>
      <c r="W301" s="6">
        <v>0.11764705882352941</v>
      </c>
      <c r="X301" s="6">
        <v>0.88235294117647056</v>
      </c>
      <c r="Y301" s="11">
        <f>VLOOKUP(G301,'[1]historico puntos 2022-2025'!$A$2:$G$19,7,0)</f>
        <v>46</v>
      </c>
      <c r="Z301" t="s">
        <v>38</v>
      </c>
      <c r="AA301">
        <f t="shared" si="14"/>
        <v>299</v>
      </c>
    </row>
    <row r="302" spans="1:27" hidden="1" x14ac:dyDescent="0.3">
      <c r="A302" t="str">
        <f t="shared" si="12"/>
        <v>2024-Xolos</v>
      </c>
      <c r="B302" t="str">
        <f t="shared" si="13"/>
        <v>2024-Necaxa</v>
      </c>
      <c r="C302">
        <v>2024</v>
      </c>
      <c r="D302" t="s">
        <v>19</v>
      </c>
      <c r="E302" s="2">
        <v>2</v>
      </c>
      <c r="F302" s="2">
        <v>3</v>
      </c>
      <c r="G302" t="s">
        <v>4</v>
      </c>
      <c r="H302" t="s">
        <v>37</v>
      </c>
      <c r="I302" t="s">
        <v>37</v>
      </c>
      <c r="J302" t="s">
        <v>37</v>
      </c>
      <c r="K302" t="s">
        <v>37</v>
      </c>
      <c r="L302" t="s">
        <v>37</v>
      </c>
      <c r="M302" s="6">
        <v>0.55000000000000004</v>
      </c>
      <c r="N302" s="6">
        <v>0.15</v>
      </c>
      <c r="O302" s="6">
        <v>0.3</v>
      </c>
      <c r="P302" s="10">
        <v>49</v>
      </c>
      <c r="Q302">
        <v>38.5</v>
      </c>
      <c r="R302">
        <v>3.85</v>
      </c>
      <c r="S302">
        <v>11.55</v>
      </c>
      <c r="T302">
        <v>11.55</v>
      </c>
      <c r="U302">
        <v>11.55</v>
      </c>
      <c r="V302" s="6">
        <v>0.27777777777777779</v>
      </c>
      <c r="W302" s="6">
        <v>0.27777777777777779</v>
      </c>
      <c r="X302" s="6">
        <v>0.44444444444444442</v>
      </c>
      <c r="Y302" s="11">
        <f>VLOOKUP(G302,'[1]historico puntos 2022-2025'!$A$2:$G$19,7,0)</f>
        <v>77</v>
      </c>
      <c r="Z302" t="s">
        <v>40</v>
      </c>
      <c r="AA302">
        <f t="shared" si="14"/>
        <v>300</v>
      </c>
    </row>
    <row r="303" spans="1:27" hidden="1" x14ac:dyDescent="0.3">
      <c r="A303" t="str">
        <f t="shared" si="12"/>
        <v>2024-Necaxa</v>
      </c>
      <c r="B303" t="str">
        <f t="shared" si="13"/>
        <v>2024-León</v>
      </c>
      <c r="C303">
        <v>2024</v>
      </c>
      <c r="D303" t="s">
        <v>4</v>
      </c>
      <c r="E303" s="2">
        <v>1</v>
      </c>
      <c r="F303" s="2">
        <v>2</v>
      </c>
      <c r="G303" t="s">
        <v>36</v>
      </c>
      <c r="H303">
        <v>38.5</v>
      </c>
      <c r="I303">
        <v>3.85</v>
      </c>
      <c r="J303">
        <v>11.55</v>
      </c>
      <c r="K303">
        <v>11.55</v>
      </c>
      <c r="L303">
        <v>11.55</v>
      </c>
      <c r="M303" s="6">
        <v>0.44444444444444442</v>
      </c>
      <c r="N303" s="6">
        <v>0.22222222222222221</v>
      </c>
      <c r="O303" s="6">
        <v>0.33333333333333331</v>
      </c>
      <c r="P303" s="10">
        <v>77</v>
      </c>
      <c r="Q303">
        <v>29.55</v>
      </c>
      <c r="R303">
        <v>2.96</v>
      </c>
      <c r="S303">
        <v>8.8699999999999992</v>
      </c>
      <c r="T303">
        <v>8.8699999999999992</v>
      </c>
      <c r="U303">
        <v>8.8699999999999992</v>
      </c>
      <c r="V303" s="6">
        <v>0.27777777777777779</v>
      </c>
      <c r="W303" s="6">
        <v>0.27777777777777779</v>
      </c>
      <c r="X303" s="6">
        <v>0.44444444444444442</v>
      </c>
      <c r="Y303" s="11">
        <f>VLOOKUP(G303,'[1]historico puntos 2022-2025'!$A$2:$G$19,7,0)</f>
        <v>87</v>
      </c>
      <c r="Z303" t="s">
        <v>40</v>
      </c>
      <c r="AA303">
        <f t="shared" si="14"/>
        <v>301</v>
      </c>
    </row>
    <row r="304" spans="1:27" hidden="1" x14ac:dyDescent="0.3">
      <c r="A304" t="str">
        <f t="shared" si="12"/>
        <v>2024-Cruz Azul</v>
      </c>
      <c r="B304" t="str">
        <f t="shared" si="13"/>
        <v>2024-Necaxa</v>
      </c>
      <c r="C304">
        <v>2024</v>
      </c>
      <c r="D304" t="s">
        <v>10</v>
      </c>
      <c r="E304" s="2">
        <v>1</v>
      </c>
      <c r="F304" s="2">
        <v>2</v>
      </c>
      <c r="G304" t="s">
        <v>4</v>
      </c>
      <c r="H304">
        <v>78.849999999999994</v>
      </c>
      <c r="I304">
        <v>7.89</v>
      </c>
      <c r="J304">
        <v>23.66</v>
      </c>
      <c r="K304">
        <v>23.66</v>
      </c>
      <c r="L304">
        <v>23.66</v>
      </c>
      <c r="M304" s="6">
        <v>0.7142857142857143</v>
      </c>
      <c r="N304" s="6">
        <v>0.23809523809523808</v>
      </c>
      <c r="O304" s="6">
        <v>4.7619047619047616E-2</v>
      </c>
      <c r="P304" s="10">
        <v>107</v>
      </c>
      <c r="Q304">
        <v>38.5</v>
      </c>
      <c r="R304">
        <v>3.85</v>
      </c>
      <c r="S304">
        <v>11.55</v>
      </c>
      <c r="T304">
        <v>11.55</v>
      </c>
      <c r="U304">
        <v>11.55</v>
      </c>
      <c r="V304" s="6">
        <v>0.27777777777777779</v>
      </c>
      <c r="W304" s="6">
        <v>0.27777777777777779</v>
      </c>
      <c r="X304" s="6">
        <v>0.44444444444444442</v>
      </c>
      <c r="Y304" s="11">
        <f>VLOOKUP(G304,'[1]historico puntos 2022-2025'!$A$2:$G$19,7,0)</f>
        <v>77</v>
      </c>
      <c r="Z304" t="s">
        <v>40</v>
      </c>
      <c r="AA304">
        <f t="shared" si="14"/>
        <v>302</v>
      </c>
    </row>
    <row r="305" spans="1:27" hidden="1" x14ac:dyDescent="0.3">
      <c r="A305" t="str">
        <f t="shared" si="12"/>
        <v>2024-Necaxa</v>
      </c>
      <c r="B305" t="str">
        <f t="shared" si="13"/>
        <v>2024-Atlético San Luis</v>
      </c>
      <c r="C305">
        <v>2024</v>
      </c>
      <c r="D305" t="s">
        <v>4</v>
      </c>
      <c r="E305" s="2">
        <v>3</v>
      </c>
      <c r="F305" s="2">
        <v>1</v>
      </c>
      <c r="G305" t="s">
        <v>15</v>
      </c>
      <c r="H305">
        <v>38.5</v>
      </c>
      <c r="I305">
        <v>3.85</v>
      </c>
      <c r="J305">
        <v>11.55</v>
      </c>
      <c r="K305">
        <v>11.55</v>
      </c>
      <c r="L305">
        <v>11.55</v>
      </c>
      <c r="M305" s="6">
        <v>0.44444444444444442</v>
      </c>
      <c r="N305" s="6">
        <v>0.22222222222222221</v>
      </c>
      <c r="O305" s="6">
        <v>0.33333333333333331</v>
      </c>
      <c r="P305" s="10">
        <v>77</v>
      </c>
      <c r="Q305">
        <v>45.95</v>
      </c>
      <c r="R305">
        <v>4.5999999999999996</v>
      </c>
      <c r="S305">
        <v>13.84</v>
      </c>
      <c r="T305">
        <v>13.84</v>
      </c>
      <c r="U305">
        <v>13.84</v>
      </c>
      <c r="V305" s="6">
        <v>0.21052631578947367</v>
      </c>
      <c r="W305" s="6">
        <v>0.15789473684210525</v>
      </c>
      <c r="X305" s="6">
        <v>0.63157894736842102</v>
      </c>
      <c r="Y305" s="11">
        <f>VLOOKUP(G305,'[1]historico puntos 2022-2025'!$A$2:$G$19,7,0)</f>
        <v>59</v>
      </c>
      <c r="Z305" t="s">
        <v>38</v>
      </c>
      <c r="AA305">
        <f t="shared" si="14"/>
        <v>303</v>
      </c>
    </row>
    <row r="306" spans="1:27" hidden="1" x14ac:dyDescent="0.3">
      <c r="A306" t="str">
        <f t="shared" si="12"/>
        <v>2024-Mazatlán</v>
      </c>
      <c r="B306" t="str">
        <f t="shared" si="13"/>
        <v>2024-Necaxa</v>
      </c>
      <c r="C306">
        <v>2024</v>
      </c>
      <c r="D306" t="s">
        <v>20</v>
      </c>
      <c r="E306" s="2">
        <v>2</v>
      </c>
      <c r="F306" s="2">
        <v>1</v>
      </c>
      <c r="G306" t="s">
        <v>4</v>
      </c>
      <c r="H306">
        <v>31.45</v>
      </c>
      <c r="I306">
        <v>3.15</v>
      </c>
      <c r="J306">
        <v>9.44</v>
      </c>
      <c r="K306">
        <v>9.44</v>
      </c>
      <c r="L306">
        <v>9.44</v>
      </c>
      <c r="M306" s="6">
        <v>0.29411764705882354</v>
      </c>
      <c r="N306" s="6">
        <v>0.47058823529411764</v>
      </c>
      <c r="O306" s="6">
        <v>0.23529411764705882</v>
      </c>
      <c r="P306" s="10">
        <v>40</v>
      </c>
      <c r="Q306">
        <v>38.5</v>
      </c>
      <c r="R306">
        <v>3.85</v>
      </c>
      <c r="S306">
        <v>11.55</v>
      </c>
      <c r="T306">
        <v>11.55</v>
      </c>
      <c r="U306">
        <v>11.55</v>
      </c>
      <c r="V306" s="6">
        <v>0.27777777777777779</v>
      </c>
      <c r="W306" s="6">
        <v>0.27777777777777779</v>
      </c>
      <c r="X306" s="6">
        <v>0.44444444444444442</v>
      </c>
      <c r="Y306" s="11">
        <f>VLOOKUP(G306,'[1]historico puntos 2022-2025'!$A$2:$G$19,7,0)</f>
        <v>77</v>
      </c>
      <c r="Z306" t="s">
        <v>38</v>
      </c>
      <c r="AA306">
        <f t="shared" si="14"/>
        <v>304</v>
      </c>
    </row>
    <row r="307" spans="1:27" hidden="1" x14ac:dyDescent="0.3">
      <c r="A307" t="str">
        <f t="shared" si="12"/>
        <v>2024-Necaxa</v>
      </c>
      <c r="B307" t="str">
        <f t="shared" si="13"/>
        <v>2024-Pachuca</v>
      </c>
      <c r="C307">
        <v>2024</v>
      </c>
      <c r="D307" t="s">
        <v>4</v>
      </c>
      <c r="E307" s="2">
        <v>1</v>
      </c>
      <c r="F307" s="2">
        <v>1</v>
      </c>
      <c r="G307" t="s">
        <v>0</v>
      </c>
      <c r="H307">
        <v>38.5</v>
      </c>
      <c r="I307">
        <v>3.85</v>
      </c>
      <c r="J307">
        <v>11.55</v>
      </c>
      <c r="K307">
        <v>11.55</v>
      </c>
      <c r="L307">
        <v>11.55</v>
      </c>
      <c r="M307" s="6">
        <v>0.44444444444444442</v>
      </c>
      <c r="N307" s="6">
        <v>0.22222222222222221</v>
      </c>
      <c r="O307" s="6">
        <v>0.33333333333333331</v>
      </c>
      <c r="P307" s="10">
        <v>77</v>
      </c>
      <c r="Q307">
        <v>56.6</v>
      </c>
      <c r="R307">
        <v>5.66</v>
      </c>
      <c r="S307">
        <v>16.98</v>
      </c>
      <c r="T307">
        <v>16.98</v>
      </c>
      <c r="U307">
        <v>16.98</v>
      </c>
      <c r="V307" s="6">
        <v>0.26315789473684209</v>
      </c>
      <c r="W307" s="6">
        <v>0.15789473684210525</v>
      </c>
      <c r="X307" s="6">
        <v>0.57894736842105265</v>
      </c>
      <c r="Y307" s="11">
        <f>VLOOKUP(G307,'[1]historico puntos 2022-2025'!$A$2:$G$19,7,0)</f>
        <v>98</v>
      </c>
      <c r="Z307" t="s">
        <v>39</v>
      </c>
      <c r="AA307">
        <f t="shared" si="14"/>
        <v>305</v>
      </c>
    </row>
    <row r="308" spans="1:27" hidden="1" x14ac:dyDescent="0.3">
      <c r="A308" t="str">
        <f t="shared" si="12"/>
        <v>2024-Necaxa</v>
      </c>
      <c r="B308" t="str">
        <f t="shared" si="13"/>
        <v>2024-Chivas</v>
      </c>
      <c r="C308">
        <v>2024</v>
      </c>
      <c r="D308" t="s">
        <v>4</v>
      </c>
      <c r="E308" s="2">
        <v>1</v>
      </c>
      <c r="F308" s="2">
        <v>0</v>
      </c>
      <c r="G308" t="s">
        <v>21</v>
      </c>
      <c r="H308">
        <v>38.5</v>
      </c>
      <c r="I308">
        <v>3.85</v>
      </c>
      <c r="J308">
        <v>11.55</v>
      </c>
      <c r="K308">
        <v>11.55</v>
      </c>
      <c r="L308">
        <v>11.55</v>
      </c>
      <c r="M308" s="6">
        <v>0.44444444444444442</v>
      </c>
      <c r="N308" s="6">
        <v>0.22222222222222221</v>
      </c>
      <c r="O308" s="6">
        <v>0.33333333333333331</v>
      </c>
      <c r="P308" s="10">
        <v>77</v>
      </c>
      <c r="Q308" t="s">
        <v>37</v>
      </c>
      <c r="R308" t="s">
        <v>37</v>
      </c>
      <c r="S308" t="s">
        <v>37</v>
      </c>
      <c r="T308" t="s">
        <v>37</v>
      </c>
      <c r="U308" t="s">
        <v>37</v>
      </c>
      <c r="V308" s="6">
        <v>0.23529411764705882</v>
      </c>
      <c r="W308" s="6">
        <v>0.23529411764705882</v>
      </c>
      <c r="X308" s="6">
        <v>0.52941176470588236</v>
      </c>
      <c r="Y308" s="11">
        <f>VLOOKUP(G308,'[1]historico puntos 2022-2025'!$A$2:$G$19,7,0)</f>
        <v>99</v>
      </c>
      <c r="Z308" t="s">
        <v>38</v>
      </c>
      <c r="AA308">
        <f t="shared" si="14"/>
        <v>306</v>
      </c>
    </row>
    <row r="309" spans="1:27" hidden="1" x14ac:dyDescent="0.3">
      <c r="A309" t="str">
        <f t="shared" si="12"/>
        <v>2024-Necaxa</v>
      </c>
      <c r="B309" t="str">
        <f t="shared" si="13"/>
        <v>2024-Toluca</v>
      </c>
      <c r="C309">
        <v>2024</v>
      </c>
      <c r="D309" t="s">
        <v>4</v>
      </c>
      <c r="E309" s="2">
        <v>3</v>
      </c>
      <c r="F309" s="2">
        <v>3</v>
      </c>
      <c r="G309" t="s">
        <v>2</v>
      </c>
      <c r="H309">
        <v>38.5</v>
      </c>
      <c r="I309">
        <v>3.85</v>
      </c>
      <c r="J309">
        <v>11.55</v>
      </c>
      <c r="K309">
        <v>11.55</v>
      </c>
      <c r="L309">
        <v>11.55</v>
      </c>
      <c r="M309" s="6">
        <v>0.44444444444444442</v>
      </c>
      <c r="N309" s="6">
        <v>0.22222222222222221</v>
      </c>
      <c r="O309" s="6">
        <v>0.33333333333333331</v>
      </c>
      <c r="P309" s="10">
        <v>77</v>
      </c>
      <c r="Q309">
        <v>77.45</v>
      </c>
      <c r="R309">
        <v>7.75</v>
      </c>
      <c r="S309">
        <v>23.24</v>
      </c>
      <c r="T309">
        <v>23.24</v>
      </c>
      <c r="U309">
        <v>23.24</v>
      </c>
      <c r="V309" s="6">
        <v>0.38095238095238093</v>
      </c>
      <c r="W309" s="6">
        <v>0.33333333333333331</v>
      </c>
      <c r="X309" s="6">
        <v>0.2857142857142857</v>
      </c>
      <c r="Y309" s="11">
        <f>VLOOKUP(G309,'[1]historico puntos 2022-2025'!$A$2:$G$19,7,0)</f>
        <v>118</v>
      </c>
      <c r="Z309" t="s">
        <v>39</v>
      </c>
      <c r="AA309">
        <f t="shared" si="14"/>
        <v>307</v>
      </c>
    </row>
    <row r="310" spans="1:27" hidden="1" x14ac:dyDescent="0.3">
      <c r="A310" t="str">
        <f t="shared" si="12"/>
        <v>2024-Juarez</v>
      </c>
      <c r="B310" t="str">
        <f t="shared" si="13"/>
        <v>2024-Necaxa</v>
      </c>
      <c r="C310">
        <v>2024</v>
      </c>
      <c r="D310" t="s">
        <v>18</v>
      </c>
      <c r="E310" s="2">
        <v>2</v>
      </c>
      <c r="F310" s="2">
        <v>2</v>
      </c>
      <c r="G310" t="s">
        <v>4</v>
      </c>
      <c r="H310" t="s">
        <v>37</v>
      </c>
      <c r="I310" t="s">
        <v>37</v>
      </c>
      <c r="J310" t="s">
        <v>37</v>
      </c>
      <c r="K310" t="s">
        <v>37</v>
      </c>
      <c r="L310" t="s">
        <v>37</v>
      </c>
      <c r="M310" s="6">
        <v>0.27777777777777779</v>
      </c>
      <c r="N310" s="6">
        <v>0.33333333333333331</v>
      </c>
      <c r="O310" s="6">
        <v>0.3888888888888889</v>
      </c>
      <c r="P310" s="10">
        <v>55</v>
      </c>
      <c r="Q310">
        <v>38.5</v>
      </c>
      <c r="R310">
        <v>3.85</v>
      </c>
      <c r="S310">
        <v>11.55</v>
      </c>
      <c r="T310">
        <v>11.55</v>
      </c>
      <c r="U310">
        <v>11.55</v>
      </c>
      <c r="V310" s="6">
        <v>0.27777777777777779</v>
      </c>
      <c r="W310" s="6">
        <v>0.27777777777777779</v>
      </c>
      <c r="X310" s="6">
        <v>0.44444444444444442</v>
      </c>
      <c r="Y310" s="11">
        <f>VLOOKUP(G310,'[1]historico puntos 2022-2025'!$A$2:$G$19,7,0)</f>
        <v>77</v>
      </c>
      <c r="Z310" t="s">
        <v>39</v>
      </c>
      <c r="AA310">
        <f t="shared" si="14"/>
        <v>308</v>
      </c>
    </row>
    <row r="311" spans="1:27" hidden="1" x14ac:dyDescent="0.3">
      <c r="A311" t="str">
        <f t="shared" si="12"/>
        <v>2024-Pumas</v>
      </c>
      <c r="B311" t="str">
        <f t="shared" si="13"/>
        <v>2024-Necaxa</v>
      </c>
      <c r="C311">
        <v>2024</v>
      </c>
      <c r="D311" t="s">
        <v>16</v>
      </c>
      <c r="E311" s="2">
        <v>2</v>
      </c>
      <c r="F311" s="2">
        <v>2</v>
      </c>
      <c r="G311" t="s">
        <v>4</v>
      </c>
      <c r="H311">
        <v>47.6</v>
      </c>
      <c r="I311">
        <v>4.76</v>
      </c>
      <c r="J311">
        <v>14.28</v>
      </c>
      <c r="K311">
        <v>14.28</v>
      </c>
      <c r="L311">
        <v>14.28</v>
      </c>
      <c r="M311" s="6">
        <v>0.5</v>
      </c>
      <c r="N311" s="6">
        <v>0.16666666666666666</v>
      </c>
      <c r="O311" s="6">
        <v>0.33333333333333331</v>
      </c>
      <c r="P311" s="10">
        <v>75</v>
      </c>
      <c r="Q311">
        <v>38.5</v>
      </c>
      <c r="R311">
        <v>3.85</v>
      </c>
      <c r="S311">
        <v>11.55</v>
      </c>
      <c r="T311">
        <v>11.55</v>
      </c>
      <c r="U311">
        <v>11.55</v>
      </c>
      <c r="V311" s="6">
        <v>0.27777777777777779</v>
      </c>
      <c r="W311" s="6">
        <v>0.27777777777777779</v>
      </c>
      <c r="X311" s="6">
        <v>0.44444444444444442</v>
      </c>
      <c r="Y311" s="11">
        <f>VLOOKUP(G311,'[1]historico puntos 2022-2025'!$A$2:$G$19,7,0)</f>
        <v>77</v>
      </c>
      <c r="Z311" t="s">
        <v>39</v>
      </c>
      <c r="AA311">
        <f t="shared" si="14"/>
        <v>309</v>
      </c>
    </row>
    <row r="312" spans="1:27" hidden="1" x14ac:dyDescent="0.3">
      <c r="A312" t="str">
        <f t="shared" si="12"/>
        <v>2024-Puebla</v>
      </c>
      <c r="B312" t="str">
        <f t="shared" si="13"/>
        <v>2024-Necaxa</v>
      </c>
      <c r="C312">
        <v>2024</v>
      </c>
      <c r="D312" t="s">
        <v>1</v>
      </c>
      <c r="E312" s="2">
        <v>1</v>
      </c>
      <c r="F312" s="2">
        <v>2</v>
      </c>
      <c r="G312" t="s">
        <v>4</v>
      </c>
      <c r="H312">
        <v>24.1</v>
      </c>
      <c r="I312">
        <v>2.41</v>
      </c>
      <c r="J312">
        <v>7.23</v>
      </c>
      <c r="K312">
        <v>7.23</v>
      </c>
      <c r="L312">
        <v>7.23</v>
      </c>
      <c r="M312" s="6">
        <v>0.23529411764705882</v>
      </c>
      <c r="N312" s="6">
        <v>0.11764705882352941</v>
      </c>
      <c r="O312" s="6">
        <v>0.6470588235294118</v>
      </c>
      <c r="P312" s="10">
        <v>34</v>
      </c>
      <c r="Q312">
        <v>38.5</v>
      </c>
      <c r="R312">
        <v>3.85</v>
      </c>
      <c r="S312">
        <v>11.55</v>
      </c>
      <c r="T312">
        <v>11.55</v>
      </c>
      <c r="U312">
        <v>11.55</v>
      </c>
      <c r="V312" s="6">
        <v>0.27777777777777779</v>
      </c>
      <c r="W312" s="6">
        <v>0.27777777777777779</v>
      </c>
      <c r="X312" s="6">
        <v>0.44444444444444442</v>
      </c>
      <c r="Y312" s="11">
        <f>VLOOKUP(G312,'[1]historico puntos 2022-2025'!$A$2:$G$19,7,0)</f>
        <v>77</v>
      </c>
      <c r="Z312" t="s">
        <v>40</v>
      </c>
      <c r="AA312">
        <f t="shared" si="14"/>
        <v>310</v>
      </c>
    </row>
    <row r="313" spans="1:27" hidden="1" x14ac:dyDescent="0.3">
      <c r="A313" t="str">
        <f t="shared" si="12"/>
        <v>2024-Necaxa</v>
      </c>
      <c r="B313" t="str">
        <f t="shared" si="13"/>
        <v>2024-Atlas</v>
      </c>
      <c r="C313" s="1">
        <v>2024</v>
      </c>
      <c r="D313" t="s">
        <v>4</v>
      </c>
      <c r="E313" s="2">
        <v>2</v>
      </c>
      <c r="F313" s="2">
        <v>1</v>
      </c>
      <c r="G313" t="s">
        <v>5</v>
      </c>
      <c r="H313">
        <v>38.5</v>
      </c>
      <c r="I313">
        <v>3.85</v>
      </c>
      <c r="J313">
        <v>11.55</v>
      </c>
      <c r="K313">
        <v>11.55</v>
      </c>
      <c r="L313">
        <v>11.55</v>
      </c>
      <c r="M313" s="6">
        <v>0.44444444444444442</v>
      </c>
      <c r="N313" s="6">
        <v>0.22222222222222221</v>
      </c>
      <c r="O313" s="6">
        <v>0.33333333333333331</v>
      </c>
      <c r="P313" s="10">
        <v>77</v>
      </c>
      <c r="Q313">
        <v>28.95</v>
      </c>
      <c r="R313">
        <v>2.9</v>
      </c>
      <c r="S313">
        <v>8.68</v>
      </c>
      <c r="T313">
        <v>8.68</v>
      </c>
      <c r="U313">
        <v>8.68</v>
      </c>
      <c r="V313" s="6">
        <v>0.26315789473684209</v>
      </c>
      <c r="W313" s="6">
        <v>0.31578947368421051</v>
      </c>
      <c r="X313" s="6">
        <v>0.42105263157894735</v>
      </c>
      <c r="Y313" s="11">
        <f>VLOOKUP(G313,'[1]historico puntos 2022-2025'!$A$2:$G$19,7,0)</f>
        <v>60</v>
      </c>
      <c r="Z313" t="s">
        <v>38</v>
      </c>
      <c r="AA313">
        <f t="shared" si="14"/>
        <v>311</v>
      </c>
    </row>
    <row r="314" spans="1:27" hidden="1" x14ac:dyDescent="0.3">
      <c r="A314" t="str">
        <f t="shared" si="12"/>
        <v>2023-Necaxa</v>
      </c>
      <c r="B314" t="str">
        <f t="shared" si="13"/>
        <v>2023-Mazatlán</v>
      </c>
      <c r="C314">
        <v>2023</v>
      </c>
      <c r="D314" t="s">
        <v>4</v>
      </c>
      <c r="E314" s="2">
        <v>4</v>
      </c>
      <c r="F314" s="2">
        <v>0</v>
      </c>
      <c r="G314" t="s">
        <v>20</v>
      </c>
      <c r="H314">
        <v>40</v>
      </c>
      <c r="I314">
        <v>4</v>
      </c>
      <c r="J314">
        <v>12</v>
      </c>
      <c r="K314">
        <v>12</v>
      </c>
      <c r="L314">
        <v>12</v>
      </c>
      <c r="M314" s="6">
        <v>0.44444444444444442</v>
      </c>
      <c r="N314" s="6">
        <v>0.22222222222222221</v>
      </c>
      <c r="O314" s="6">
        <v>0.33333333333333331</v>
      </c>
      <c r="P314" s="10">
        <v>77</v>
      </c>
      <c r="Q314">
        <v>35.049999999999997</v>
      </c>
      <c r="R314">
        <v>3.5</v>
      </c>
      <c r="S314">
        <v>10.51</v>
      </c>
      <c r="T314">
        <v>10.51</v>
      </c>
      <c r="U314">
        <v>10.51</v>
      </c>
      <c r="V314" s="6">
        <v>5.8823529411764705E-2</v>
      </c>
      <c r="W314" s="6">
        <v>0.29411764705882354</v>
      </c>
      <c r="X314" s="6">
        <v>0.6470588235294118</v>
      </c>
      <c r="Y314" s="11">
        <f>VLOOKUP(G314,'[1]historico puntos 2022-2025'!$A$2:$G$19,7,0)</f>
        <v>40</v>
      </c>
      <c r="Z314" t="s">
        <v>38</v>
      </c>
      <c r="AA314">
        <f t="shared" si="14"/>
        <v>312</v>
      </c>
    </row>
    <row r="315" spans="1:27" hidden="1" x14ac:dyDescent="0.3">
      <c r="A315" t="str">
        <f t="shared" si="12"/>
        <v>2023-Monterrey</v>
      </c>
      <c r="B315" t="str">
        <f t="shared" si="13"/>
        <v>2023-Necaxa</v>
      </c>
      <c r="C315">
        <v>2023</v>
      </c>
      <c r="D315" t="s">
        <v>3</v>
      </c>
      <c r="E315" s="2">
        <v>3</v>
      </c>
      <c r="F315" s="2">
        <v>0</v>
      </c>
      <c r="G315" t="s">
        <v>4</v>
      </c>
      <c r="H315">
        <v>88.1</v>
      </c>
      <c r="I315">
        <v>8.81</v>
      </c>
      <c r="J315">
        <v>26.43</v>
      </c>
      <c r="K315">
        <v>26.43</v>
      </c>
      <c r="L315">
        <v>26.43</v>
      </c>
      <c r="M315" s="6">
        <v>0.60869565217391308</v>
      </c>
      <c r="N315" s="6">
        <v>0.17391304347826086</v>
      </c>
      <c r="O315" s="6">
        <v>0.21739130434782608</v>
      </c>
      <c r="P315" s="10">
        <v>118</v>
      </c>
      <c r="Q315">
        <v>40</v>
      </c>
      <c r="R315">
        <v>4</v>
      </c>
      <c r="S315">
        <v>12</v>
      </c>
      <c r="T315">
        <v>12</v>
      </c>
      <c r="U315">
        <v>12</v>
      </c>
      <c r="V315" s="6">
        <v>0.27777777777777779</v>
      </c>
      <c r="W315" s="6">
        <v>0.27777777777777779</v>
      </c>
      <c r="X315" s="6">
        <v>0.44444444444444442</v>
      </c>
      <c r="Y315" s="11">
        <f>VLOOKUP(G315,'[1]historico puntos 2022-2025'!$A$2:$G$19,7,0)</f>
        <v>77</v>
      </c>
      <c r="Z315" t="s">
        <v>38</v>
      </c>
      <c r="AA315">
        <f t="shared" si="14"/>
        <v>313</v>
      </c>
    </row>
    <row r="316" spans="1:27" hidden="1" x14ac:dyDescent="0.3">
      <c r="A316" t="str">
        <f t="shared" si="12"/>
        <v>2023-Necaxa</v>
      </c>
      <c r="B316" t="str">
        <f t="shared" si="13"/>
        <v>2023-Pumas</v>
      </c>
      <c r="C316">
        <v>2023</v>
      </c>
      <c r="D316" t="s">
        <v>4</v>
      </c>
      <c r="E316" s="2">
        <v>1</v>
      </c>
      <c r="F316" s="2">
        <v>0</v>
      </c>
      <c r="G316" t="s">
        <v>16</v>
      </c>
      <c r="H316">
        <v>40</v>
      </c>
      <c r="I316">
        <v>4</v>
      </c>
      <c r="J316">
        <v>12</v>
      </c>
      <c r="K316">
        <v>12</v>
      </c>
      <c r="L316">
        <v>12</v>
      </c>
      <c r="M316" s="6">
        <v>0.44444444444444442</v>
      </c>
      <c r="N316" s="6">
        <v>0.22222222222222221</v>
      </c>
      <c r="O316" s="6">
        <v>0.33333333333333331</v>
      </c>
      <c r="P316" s="10">
        <v>77</v>
      </c>
      <c r="Q316" t="s">
        <v>37</v>
      </c>
      <c r="R316" t="s">
        <v>37</v>
      </c>
      <c r="S316" t="s">
        <v>37</v>
      </c>
      <c r="T316" t="s">
        <v>37</v>
      </c>
      <c r="U316" t="s">
        <v>37</v>
      </c>
      <c r="V316" s="6">
        <v>0.3</v>
      </c>
      <c r="W316" s="6">
        <v>0.25</v>
      </c>
      <c r="X316" s="6">
        <v>0.45</v>
      </c>
      <c r="Y316" s="11">
        <f>VLOOKUP(G316,'[1]historico puntos 2022-2025'!$A$2:$G$19,7,0)</f>
        <v>75</v>
      </c>
      <c r="Z316" t="s">
        <v>38</v>
      </c>
      <c r="AA316">
        <f t="shared" si="14"/>
        <v>314</v>
      </c>
    </row>
    <row r="317" spans="1:27" hidden="1" x14ac:dyDescent="0.3">
      <c r="A317" t="str">
        <f t="shared" si="12"/>
        <v>2023-Atlético San Luis</v>
      </c>
      <c r="B317" t="str">
        <f t="shared" si="13"/>
        <v>2023-Necaxa</v>
      </c>
      <c r="C317">
        <v>2023</v>
      </c>
      <c r="D317" t="s">
        <v>15</v>
      </c>
      <c r="E317" s="2">
        <v>4</v>
      </c>
      <c r="F317" s="2">
        <v>0</v>
      </c>
      <c r="G317" t="s">
        <v>4</v>
      </c>
      <c r="H317">
        <v>35.85</v>
      </c>
      <c r="I317">
        <v>3.59</v>
      </c>
      <c r="J317">
        <v>10.77</v>
      </c>
      <c r="K317">
        <v>10.77</v>
      </c>
      <c r="L317">
        <v>10.77</v>
      </c>
      <c r="M317" s="6">
        <v>0.68421052631578949</v>
      </c>
      <c r="N317" s="6">
        <v>5.2631578947368418E-2</v>
      </c>
      <c r="O317" s="6">
        <v>0.26315789473684209</v>
      </c>
      <c r="P317" s="10">
        <v>59</v>
      </c>
      <c r="Q317">
        <v>40</v>
      </c>
      <c r="R317">
        <v>4</v>
      </c>
      <c r="S317">
        <v>12</v>
      </c>
      <c r="T317">
        <v>12</v>
      </c>
      <c r="U317">
        <v>12</v>
      </c>
      <c r="V317" s="6">
        <v>0.27777777777777779</v>
      </c>
      <c r="W317" s="6">
        <v>0.27777777777777779</v>
      </c>
      <c r="X317" s="6">
        <v>0.44444444444444442</v>
      </c>
      <c r="Y317" s="11">
        <f>VLOOKUP(G317,'[1]historico puntos 2022-2025'!$A$2:$G$19,7,0)</f>
        <v>77</v>
      </c>
      <c r="Z317" t="s">
        <v>38</v>
      </c>
      <c r="AA317">
        <f t="shared" si="14"/>
        <v>315</v>
      </c>
    </row>
    <row r="318" spans="1:27" hidden="1" x14ac:dyDescent="0.3">
      <c r="A318" t="str">
        <f t="shared" si="12"/>
        <v>2023-Necaxa</v>
      </c>
      <c r="B318" t="str">
        <f t="shared" si="13"/>
        <v>2023-Cruz Azul</v>
      </c>
      <c r="C318">
        <v>2023</v>
      </c>
      <c r="D318" t="s">
        <v>4</v>
      </c>
      <c r="E318" s="2">
        <v>1</v>
      </c>
      <c r="F318" s="2">
        <v>3</v>
      </c>
      <c r="G318" t="s">
        <v>10</v>
      </c>
      <c r="H318">
        <v>40</v>
      </c>
      <c r="I318">
        <v>4</v>
      </c>
      <c r="J318">
        <v>12</v>
      </c>
      <c r="K318">
        <v>12</v>
      </c>
      <c r="L318">
        <v>12</v>
      </c>
      <c r="M318" s="6">
        <v>0.44444444444444442</v>
      </c>
      <c r="N318" s="6">
        <v>0.22222222222222221</v>
      </c>
      <c r="O318" s="6">
        <v>0.33333333333333331</v>
      </c>
      <c r="P318" s="10">
        <v>77</v>
      </c>
      <c r="Q318">
        <v>72.2</v>
      </c>
      <c r="R318">
        <v>7.22</v>
      </c>
      <c r="S318">
        <v>21.66</v>
      </c>
      <c r="T318">
        <v>21.66</v>
      </c>
      <c r="U318">
        <v>21.66</v>
      </c>
      <c r="V318" s="6">
        <v>0.52380952380952384</v>
      </c>
      <c r="W318" s="6">
        <v>0.23809523809523808</v>
      </c>
      <c r="X318" s="6">
        <v>0.23809523809523808</v>
      </c>
      <c r="Y318" s="11">
        <f>VLOOKUP(G318,'[1]historico puntos 2022-2025'!$A$2:$G$19,7,0)</f>
        <v>107</v>
      </c>
      <c r="Z318" t="s">
        <v>40</v>
      </c>
      <c r="AA318">
        <f t="shared" si="14"/>
        <v>316</v>
      </c>
    </row>
    <row r="319" spans="1:27" hidden="1" x14ac:dyDescent="0.3">
      <c r="A319" t="str">
        <f t="shared" si="12"/>
        <v>2023-Santos Laguna</v>
      </c>
      <c r="B319" t="str">
        <f t="shared" si="13"/>
        <v>2023-Necaxa</v>
      </c>
      <c r="C319">
        <v>2023</v>
      </c>
      <c r="D319" t="s">
        <v>11</v>
      </c>
      <c r="E319" s="2">
        <v>2</v>
      </c>
      <c r="F319" s="2">
        <v>5</v>
      </c>
      <c r="G319" t="s">
        <v>4</v>
      </c>
      <c r="H319">
        <v>46</v>
      </c>
      <c r="I319">
        <v>4.5999999999999996</v>
      </c>
      <c r="J319">
        <v>13.8</v>
      </c>
      <c r="K319">
        <v>13.8</v>
      </c>
      <c r="L319">
        <v>13.8</v>
      </c>
      <c r="M319" s="6">
        <v>0.23529411764705882</v>
      </c>
      <c r="N319" s="6">
        <v>0.17647058823529413</v>
      </c>
      <c r="O319" s="6">
        <v>0.58823529411764708</v>
      </c>
      <c r="P319" s="10">
        <v>46</v>
      </c>
      <c r="Q319">
        <v>40</v>
      </c>
      <c r="R319">
        <v>4</v>
      </c>
      <c r="S319">
        <v>12</v>
      </c>
      <c r="T319">
        <v>12</v>
      </c>
      <c r="U319">
        <v>12</v>
      </c>
      <c r="V319" s="6">
        <v>0.27777777777777779</v>
      </c>
      <c r="W319" s="6">
        <v>0.27777777777777779</v>
      </c>
      <c r="X319" s="6">
        <v>0.44444444444444442</v>
      </c>
      <c r="Y319" s="11">
        <f>VLOOKUP(G319,'[1]historico puntos 2022-2025'!$A$2:$G$19,7,0)</f>
        <v>77</v>
      </c>
      <c r="Z319" t="s">
        <v>40</v>
      </c>
      <c r="AA319">
        <f t="shared" si="14"/>
        <v>317</v>
      </c>
    </row>
    <row r="320" spans="1:27" hidden="1" x14ac:dyDescent="0.3">
      <c r="A320" t="str">
        <f t="shared" si="12"/>
        <v>2023-Necaxa</v>
      </c>
      <c r="B320" t="str">
        <f t="shared" si="13"/>
        <v>2023-Juarez</v>
      </c>
      <c r="C320">
        <v>2023</v>
      </c>
      <c r="D320" t="s">
        <v>4</v>
      </c>
      <c r="E320" s="2">
        <v>1</v>
      </c>
      <c r="F320" s="2">
        <v>1</v>
      </c>
      <c r="G320" t="s">
        <v>18</v>
      </c>
      <c r="H320">
        <v>40</v>
      </c>
      <c r="I320">
        <v>4</v>
      </c>
      <c r="J320">
        <v>12</v>
      </c>
      <c r="K320">
        <v>12</v>
      </c>
      <c r="L320">
        <v>12</v>
      </c>
      <c r="M320" s="6">
        <v>0.44444444444444442</v>
      </c>
      <c r="N320" s="6">
        <v>0.22222222222222221</v>
      </c>
      <c r="O320" s="6">
        <v>0.33333333333333331</v>
      </c>
      <c r="P320" s="10">
        <v>77</v>
      </c>
      <c r="Q320" t="s">
        <v>37</v>
      </c>
      <c r="R320" t="s">
        <v>37</v>
      </c>
      <c r="S320" t="s">
        <v>37</v>
      </c>
      <c r="T320" t="s">
        <v>37</v>
      </c>
      <c r="U320" t="s">
        <v>37</v>
      </c>
      <c r="V320" s="6">
        <v>0.35294117647058826</v>
      </c>
      <c r="W320" s="6">
        <v>0.17647058823529413</v>
      </c>
      <c r="X320" s="6">
        <v>0.47058823529411764</v>
      </c>
      <c r="Y320" s="11">
        <f>VLOOKUP(G320,'[1]historico puntos 2022-2025'!$A$2:$G$19,7,0)</f>
        <v>55</v>
      </c>
      <c r="Z320" t="s">
        <v>39</v>
      </c>
      <c r="AA320">
        <f t="shared" si="14"/>
        <v>318</v>
      </c>
    </row>
    <row r="321" spans="1:27" hidden="1" x14ac:dyDescent="0.3">
      <c r="A321" t="str">
        <f t="shared" si="12"/>
        <v>2023-León</v>
      </c>
      <c r="B321" t="str">
        <f t="shared" si="13"/>
        <v>2023-Necaxa</v>
      </c>
      <c r="C321">
        <v>2023</v>
      </c>
      <c r="D321" t="s">
        <v>36</v>
      </c>
      <c r="E321" s="2">
        <v>1</v>
      </c>
      <c r="F321" s="2">
        <v>1</v>
      </c>
      <c r="G321" t="s">
        <v>4</v>
      </c>
      <c r="H321">
        <v>41.5</v>
      </c>
      <c r="I321">
        <v>4.1500000000000004</v>
      </c>
      <c r="J321">
        <v>12.45</v>
      </c>
      <c r="K321">
        <v>12.45</v>
      </c>
      <c r="L321">
        <v>12.45</v>
      </c>
      <c r="M321" s="6">
        <v>0.3888888888888889</v>
      </c>
      <c r="N321" s="6">
        <v>0.3888888888888889</v>
      </c>
      <c r="O321" s="6">
        <v>0.22222222222222221</v>
      </c>
      <c r="P321" s="10">
        <v>87</v>
      </c>
      <c r="Q321">
        <v>40</v>
      </c>
      <c r="R321">
        <v>4</v>
      </c>
      <c r="S321">
        <v>12</v>
      </c>
      <c r="T321">
        <v>12</v>
      </c>
      <c r="U321">
        <v>12</v>
      </c>
      <c r="V321" s="6">
        <v>0.27777777777777779</v>
      </c>
      <c r="W321" s="6">
        <v>0.27777777777777779</v>
      </c>
      <c r="X321" s="6">
        <v>0.44444444444444442</v>
      </c>
      <c r="Y321" s="11">
        <f>VLOOKUP(G321,'[1]historico puntos 2022-2025'!$A$2:$G$19,7,0)</f>
        <v>77</v>
      </c>
      <c r="Z321" t="s">
        <v>39</v>
      </c>
      <c r="AA321">
        <f t="shared" si="14"/>
        <v>319</v>
      </c>
    </row>
    <row r="322" spans="1:27" hidden="1" x14ac:dyDescent="0.3">
      <c r="A322" t="str">
        <f t="shared" si="12"/>
        <v>2023-Necaxa</v>
      </c>
      <c r="B322" t="str">
        <f t="shared" si="13"/>
        <v>2023-Querétaro</v>
      </c>
      <c r="C322">
        <v>2023</v>
      </c>
      <c r="D322" t="s">
        <v>4</v>
      </c>
      <c r="E322" s="2">
        <v>0</v>
      </c>
      <c r="F322" s="2">
        <v>1</v>
      </c>
      <c r="G322" t="s">
        <v>22</v>
      </c>
      <c r="H322">
        <v>40</v>
      </c>
      <c r="I322">
        <v>4</v>
      </c>
      <c r="J322">
        <v>12</v>
      </c>
      <c r="K322">
        <v>12</v>
      </c>
      <c r="L322">
        <v>12</v>
      </c>
      <c r="M322" s="6">
        <v>0.44444444444444442</v>
      </c>
      <c r="N322" s="6">
        <v>0.22222222222222221</v>
      </c>
      <c r="O322" s="6">
        <v>0.33333333333333331</v>
      </c>
      <c r="P322" s="10">
        <v>77</v>
      </c>
      <c r="Q322" t="s">
        <v>37</v>
      </c>
      <c r="R322" t="s">
        <v>37</v>
      </c>
      <c r="S322" t="s">
        <v>37</v>
      </c>
      <c r="T322" t="s">
        <v>37</v>
      </c>
      <c r="U322" t="s">
        <v>37</v>
      </c>
      <c r="V322" s="6">
        <v>0.17647058823529413</v>
      </c>
      <c r="W322" s="6">
        <v>0.17647058823529413</v>
      </c>
      <c r="X322" s="6">
        <v>0.6470588235294118</v>
      </c>
      <c r="Y322" s="11">
        <f>VLOOKUP(G322,'[1]historico puntos 2022-2025'!$A$2:$G$19,7,0)</f>
        <v>64</v>
      </c>
      <c r="Z322" t="s">
        <v>40</v>
      </c>
      <c r="AA322">
        <f t="shared" si="14"/>
        <v>320</v>
      </c>
    </row>
    <row r="323" spans="1:27" hidden="1" x14ac:dyDescent="0.3">
      <c r="A323" t="str">
        <f t="shared" ref="A323:A386" si="15">C323&amp;"-"&amp;D323</f>
        <v>2023-América</v>
      </c>
      <c r="B323" t="str">
        <f t="shared" ref="B323:B386" si="16">C323&amp;"-"&amp;G323</f>
        <v>2023-Necaxa</v>
      </c>
      <c r="C323">
        <v>2023</v>
      </c>
      <c r="D323" t="s">
        <v>14</v>
      </c>
      <c r="E323" s="2">
        <v>3</v>
      </c>
      <c r="F323" s="2">
        <v>2</v>
      </c>
      <c r="G323" t="s">
        <v>4</v>
      </c>
      <c r="H323">
        <v>84.2</v>
      </c>
      <c r="I323">
        <v>8.42</v>
      </c>
      <c r="J323">
        <v>25.26</v>
      </c>
      <c r="K323">
        <v>25.26</v>
      </c>
      <c r="L323">
        <v>25.26</v>
      </c>
      <c r="M323" s="6">
        <v>0.65217391304347827</v>
      </c>
      <c r="N323" s="6">
        <v>0.21739130434782608</v>
      </c>
      <c r="O323" s="6">
        <v>0.13043478260869565</v>
      </c>
      <c r="P323" s="10">
        <v>133</v>
      </c>
      <c r="Q323">
        <v>40</v>
      </c>
      <c r="R323">
        <v>4</v>
      </c>
      <c r="S323">
        <v>12</v>
      </c>
      <c r="T323">
        <v>12</v>
      </c>
      <c r="U323">
        <v>12</v>
      </c>
      <c r="V323" s="6">
        <v>0.27777777777777779</v>
      </c>
      <c r="W323" s="6">
        <v>0.27777777777777779</v>
      </c>
      <c r="X323" s="6">
        <v>0.44444444444444442</v>
      </c>
      <c r="Y323" s="11">
        <f>VLOOKUP(G323,'[1]historico puntos 2022-2025'!$A$2:$G$19,7,0)</f>
        <v>77</v>
      </c>
      <c r="Z323" t="s">
        <v>38</v>
      </c>
      <c r="AA323">
        <f t="shared" si="14"/>
        <v>321</v>
      </c>
    </row>
    <row r="324" spans="1:27" hidden="1" x14ac:dyDescent="0.3">
      <c r="A324" t="str">
        <f t="shared" si="15"/>
        <v>2023-Necaxa</v>
      </c>
      <c r="B324" t="str">
        <f t="shared" si="16"/>
        <v>2023-Tigres</v>
      </c>
      <c r="C324">
        <v>2023</v>
      </c>
      <c r="D324" t="s">
        <v>4</v>
      </c>
      <c r="E324" s="2">
        <v>0</v>
      </c>
      <c r="F324" s="2">
        <v>3</v>
      </c>
      <c r="G324" t="s">
        <v>17</v>
      </c>
      <c r="H324">
        <v>40</v>
      </c>
      <c r="I324">
        <v>4</v>
      </c>
      <c r="J324">
        <v>12</v>
      </c>
      <c r="K324">
        <v>12</v>
      </c>
      <c r="L324">
        <v>12</v>
      </c>
      <c r="M324" s="6">
        <v>0.44444444444444442</v>
      </c>
      <c r="N324" s="6">
        <v>0.22222222222222221</v>
      </c>
      <c r="O324" s="6">
        <v>0.33333333333333331</v>
      </c>
      <c r="P324" s="10">
        <v>77</v>
      </c>
      <c r="Q324" t="s">
        <v>37</v>
      </c>
      <c r="R324" t="s">
        <v>37</v>
      </c>
      <c r="S324" t="s">
        <v>37</v>
      </c>
      <c r="T324" t="s">
        <v>37</v>
      </c>
      <c r="U324" t="s">
        <v>37</v>
      </c>
      <c r="V324" s="6">
        <v>0.3</v>
      </c>
      <c r="W324" s="6">
        <v>0.3</v>
      </c>
      <c r="X324" s="6">
        <v>0.4</v>
      </c>
      <c r="Y324" s="11">
        <f>VLOOKUP(G324,'[1]historico puntos 2022-2025'!$A$2:$G$19,7,0)</f>
        <v>107</v>
      </c>
      <c r="Z324" t="s">
        <v>40</v>
      </c>
      <c r="AA324">
        <f t="shared" ref="AA324:AA387" si="17">AA323+1</f>
        <v>322</v>
      </c>
    </row>
    <row r="325" spans="1:27" hidden="1" x14ac:dyDescent="0.3">
      <c r="A325" t="str">
        <f t="shared" si="15"/>
        <v>2023-Chivas</v>
      </c>
      <c r="B325" t="str">
        <f t="shared" si="16"/>
        <v>2023-Necaxa</v>
      </c>
      <c r="C325">
        <v>2023</v>
      </c>
      <c r="D325" t="s">
        <v>21</v>
      </c>
      <c r="E325" s="2">
        <v>2</v>
      </c>
      <c r="F325" s="2">
        <v>0</v>
      </c>
      <c r="G325" t="s">
        <v>4</v>
      </c>
      <c r="H325">
        <v>69.7</v>
      </c>
      <c r="I325">
        <v>6.97</v>
      </c>
      <c r="J325">
        <v>20.91</v>
      </c>
      <c r="K325">
        <v>20.91</v>
      </c>
      <c r="L325">
        <v>20.91</v>
      </c>
      <c r="M325" s="6">
        <v>0.44444444444444442</v>
      </c>
      <c r="N325" s="6">
        <v>0.33333333333333331</v>
      </c>
      <c r="O325" s="6">
        <v>0.22222222222222221</v>
      </c>
      <c r="P325" s="10">
        <v>99</v>
      </c>
      <c r="Q325">
        <v>40</v>
      </c>
      <c r="R325">
        <v>4</v>
      </c>
      <c r="S325">
        <v>12</v>
      </c>
      <c r="T325">
        <v>12</v>
      </c>
      <c r="U325">
        <v>12</v>
      </c>
      <c r="V325" s="6">
        <v>0.27777777777777779</v>
      </c>
      <c r="W325" s="6">
        <v>0.27777777777777779</v>
      </c>
      <c r="X325" s="6">
        <v>0.44444444444444442</v>
      </c>
      <c r="Y325" s="11">
        <f>VLOOKUP(G325,'[1]historico puntos 2022-2025'!$A$2:$G$19,7,0)</f>
        <v>77</v>
      </c>
      <c r="Z325" t="s">
        <v>38</v>
      </c>
      <c r="AA325">
        <f t="shared" si="17"/>
        <v>323</v>
      </c>
    </row>
    <row r="326" spans="1:27" hidden="1" x14ac:dyDescent="0.3">
      <c r="A326" t="str">
        <f t="shared" si="15"/>
        <v>2023-Necaxa</v>
      </c>
      <c r="B326" t="str">
        <f t="shared" si="16"/>
        <v>2023-Xolos</v>
      </c>
      <c r="C326">
        <v>2023</v>
      </c>
      <c r="D326" t="s">
        <v>4</v>
      </c>
      <c r="E326" s="2">
        <v>1</v>
      </c>
      <c r="F326" s="2">
        <v>1</v>
      </c>
      <c r="G326" t="s">
        <v>19</v>
      </c>
      <c r="H326">
        <v>40</v>
      </c>
      <c r="I326">
        <v>4</v>
      </c>
      <c r="J326">
        <v>12</v>
      </c>
      <c r="K326">
        <v>12</v>
      </c>
      <c r="L326">
        <v>12</v>
      </c>
      <c r="M326" s="6">
        <v>0.44444444444444442</v>
      </c>
      <c r="N326" s="6">
        <v>0.22222222222222221</v>
      </c>
      <c r="O326" s="6">
        <v>0.33333333333333331</v>
      </c>
      <c r="P326" s="10">
        <v>77</v>
      </c>
      <c r="Q326" t="s">
        <v>37</v>
      </c>
      <c r="R326" t="s">
        <v>37</v>
      </c>
      <c r="S326" t="s">
        <v>37</v>
      </c>
      <c r="T326" t="s">
        <v>37</v>
      </c>
      <c r="U326" t="s">
        <v>37</v>
      </c>
      <c r="V326" s="6">
        <v>0.27777777777777779</v>
      </c>
      <c r="W326" s="6">
        <v>0.22222222222222221</v>
      </c>
      <c r="X326" s="6">
        <v>0.5</v>
      </c>
      <c r="Y326" s="11">
        <f>VLOOKUP(G326,'[1]historico puntos 2022-2025'!$A$2:$G$19,7,0)</f>
        <v>49</v>
      </c>
      <c r="Z326" t="s">
        <v>39</v>
      </c>
      <c r="AA326">
        <f t="shared" si="17"/>
        <v>324</v>
      </c>
    </row>
    <row r="327" spans="1:27" hidden="1" x14ac:dyDescent="0.3">
      <c r="A327" t="str">
        <f t="shared" si="15"/>
        <v>2023-Toluca</v>
      </c>
      <c r="B327" t="str">
        <f t="shared" si="16"/>
        <v>2023-Necaxa</v>
      </c>
      <c r="C327">
        <v>2023</v>
      </c>
      <c r="D327" t="s">
        <v>2</v>
      </c>
      <c r="E327" s="2">
        <v>0</v>
      </c>
      <c r="F327" s="2">
        <v>0</v>
      </c>
      <c r="G327" t="s">
        <v>4</v>
      </c>
      <c r="H327">
        <v>66.2</v>
      </c>
      <c r="I327">
        <v>6.62</v>
      </c>
      <c r="J327">
        <v>19.86</v>
      </c>
      <c r="K327">
        <v>19.86</v>
      </c>
      <c r="L327">
        <v>19.86</v>
      </c>
      <c r="M327" s="6">
        <v>0.76190476190476186</v>
      </c>
      <c r="N327" s="6">
        <v>0.19047619047619047</v>
      </c>
      <c r="O327" s="6">
        <v>4.7619047619047616E-2</v>
      </c>
      <c r="P327" s="10">
        <v>118</v>
      </c>
      <c r="Q327">
        <v>40</v>
      </c>
      <c r="R327">
        <v>4</v>
      </c>
      <c r="S327">
        <v>12</v>
      </c>
      <c r="T327">
        <v>12</v>
      </c>
      <c r="U327">
        <v>12</v>
      </c>
      <c r="V327" s="6">
        <v>0.27777777777777779</v>
      </c>
      <c r="W327" s="6">
        <v>0.27777777777777779</v>
      </c>
      <c r="X327" s="6">
        <v>0.44444444444444442</v>
      </c>
      <c r="Y327" s="11">
        <f>VLOOKUP(G327,'[1]historico puntos 2022-2025'!$A$2:$G$19,7,0)</f>
        <v>77</v>
      </c>
      <c r="Z327" t="s">
        <v>39</v>
      </c>
      <c r="AA327">
        <f t="shared" si="17"/>
        <v>325</v>
      </c>
    </row>
    <row r="328" spans="1:27" hidden="1" x14ac:dyDescent="0.3">
      <c r="A328" t="str">
        <f t="shared" si="15"/>
        <v>2024-América</v>
      </c>
      <c r="B328" t="str">
        <f t="shared" si="16"/>
        <v>2024-Pachuca</v>
      </c>
      <c r="C328">
        <v>2024</v>
      </c>
      <c r="D328" t="s">
        <v>14</v>
      </c>
      <c r="E328" s="2">
        <v>1</v>
      </c>
      <c r="F328" s="2">
        <v>1</v>
      </c>
      <c r="G328" t="s">
        <v>0</v>
      </c>
      <c r="H328">
        <v>92.45</v>
      </c>
      <c r="I328">
        <v>9.25</v>
      </c>
      <c r="J328">
        <v>27.73</v>
      </c>
      <c r="K328">
        <v>27.73</v>
      </c>
      <c r="L328">
        <v>27.73</v>
      </c>
      <c r="M328" s="6">
        <v>0.65217391304347827</v>
      </c>
      <c r="N328" s="6">
        <v>0.21739130434782608</v>
      </c>
      <c r="O328" s="6">
        <v>0.13043478260869565</v>
      </c>
      <c r="P328" s="10">
        <v>133</v>
      </c>
      <c r="Q328">
        <v>56.6</v>
      </c>
      <c r="R328">
        <v>5.66</v>
      </c>
      <c r="S328">
        <v>16.98</v>
      </c>
      <c r="T328">
        <v>16.98</v>
      </c>
      <c r="U328">
        <v>16.98</v>
      </c>
      <c r="V328" s="6">
        <v>0.26315789473684209</v>
      </c>
      <c r="W328" s="6">
        <v>0.15789473684210525</v>
      </c>
      <c r="X328" s="6">
        <v>0.57894736842105265</v>
      </c>
      <c r="Y328" s="11">
        <f>VLOOKUP(G328,'[1]historico puntos 2022-2025'!$A$2:$G$19,7,0)</f>
        <v>98</v>
      </c>
      <c r="Z328" t="s">
        <v>39</v>
      </c>
      <c r="AA328">
        <f t="shared" si="17"/>
        <v>326</v>
      </c>
    </row>
    <row r="329" spans="1:27" hidden="1" x14ac:dyDescent="0.3">
      <c r="A329" t="str">
        <f t="shared" si="15"/>
        <v>2024-Pachuca</v>
      </c>
      <c r="B329" t="str">
        <f t="shared" si="16"/>
        <v>2024-América</v>
      </c>
      <c r="C329">
        <v>2024</v>
      </c>
      <c r="D329" t="s">
        <v>0</v>
      </c>
      <c r="E329" s="2">
        <v>1</v>
      </c>
      <c r="F329" s="2">
        <v>1</v>
      </c>
      <c r="G329" t="s">
        <v>14</v>
      </c>
      <c r="H329">
        <v>56.6</v>
      </c>
      <c r="I329">
        <v>5.66</v>
      </c>
      <c r="J329">
        <v>16.98</v>
      </c>
      <c r="K329">
        <v>16.98</v>
      </c>
      <c r="L329">
        <v>16.98</v>
      </c>
      <c r="M329" s="6">
        <v>0.3888888888888889</v>
      </c>
      <c r="N329" s="6">
        <v>0.33333333333333331</v>
      </c>
      <c r="O329" s="6">
        <v>0.27777777777777779</v>
      </c>
      <c r="P329" s="10">
        <v>98</v>
      </c>
      <c r="Q329">
        <v>92.45</v>
      </c>
      <c r="R329">
        <v>9.25</v>
      </c>
      <c r="S329">
        <v>27.73</v>
      </c>
      <c r="T329">
        <v>27.73</v>
      </c>
      <c r="U329">
        <v>27.73</v>
      </c>
      <c r="V329" s="6">
        <v>0.375</v>
      </c>
      <c r="W329" s="6">
        <v>0.29166666666666669</v>
      </c>
      <c r="X329" s="6">
        <v>0.33333333333333331</v>
      </c>
      <c r="Y329" s="11">
        <f>VLOOKUP(G329,'[1]historico puntos 2022-2025'!$A$2:$G$19,7,0)</f>
        <v>133</v>
      </c>
      <c r="Z329" t="s">
        <v>39</v>
      </c>
      <c r="AA329">
        <f t="shared" si="17"/>
        <v>327</v>
      </c>
    </row>
    <row r="330" spans="1:27" hidden="1" x14ac:dyDescent="0.3">
      <c r="A330" t="str">
        <f t="shared" si="15"/>
        <v>2024-Pachuca</v>
      </c>
      <c r="B330" t="str">
        <f t="shared" si="16"/>
        <v>2024-Pumas</v>
      </c>
      <c r="C330">
        <v>2024</v>
      </c>
      <c r="D330" t="s">
        <v>0</v>
      </c>
      <c r="E330" s="2">
        <v>0</v>
      </c>
      <c r="F330" s="2">
        <v>0</v>
      </c>
      <c r="G330" t="s">
        <v>16</v>
      </c>
      <c r="H330">
        <v>56.6</v>
      </c>
      <c r="I330">
        <v>5.66</v>
      </c>
      <c r="J330">
        <v>16.98</v>
      </c>
      <c r="K330">
        <v>16.98</v>
      </c>
      <c r="L330">
        <v>16.98</v>
      </c>
      <c r="M330" s="6">
        <v>0.3888888888888889</v>
      </c>
      <c r="N330" s="6">
        <v>0.33333333333333331</v>
      </c>
      <c r="O330" s="6">
        <v>0.27777777777777779</v>
      </c>
      <c r="P330" s="10">
        <v>98</v>
      </c>
      <c r="Q330">
        <v>47.6</v>
      </c>
      <c r="R330">
        <v>4.76</v>
      </c>
      <c r="S330">
        <v>14.28</v>
      </c>
      <c r="T330">
        <v>14.28</v>
      </c>
      <c r="U330">
        <v>14.28</v>
      </c>
      <c r="V330" s="6">
        <v>0.3</v>
      </c>
      <c r="W330" s="6">
        <v>0.25</v>
      </c>
      <c r="X330" s="6">
        <v>0.45</v>
      </c>
      <c r="Y330" s="11">
        <f>VLOOKUP(G330,'[1]historico puntos 2022-2025'!$A$2:$G$19,7,0)</f>
        <v>75</v>
      </c>
      <c r="Z330" t="s">
        <v>39</v>
      </c>
      <c r="AA330">
        <f t="shared" si="17"/>
        <v>328</v>
      </c>
    </row>
    <row r="331" spans="1:27" hidden="1" x14ac:dyDescent="0.3">
      <c r="A331" t="str">
        <f t="shared" si="15"/>
        <v>2024-Pachuca</v>
      </c>
      <c r="B331" t="str">
        <f t="shared" si="16"/>
        <v>2024-Mazatlán</v>
      </c>
      <c r="C331">
        <v>2024</v>
      </c>
      <c r="D331" t="s">
        <v>0</v>
      </c>
      <c r="E331" s="2">
        <v>1</v>
      </c>
      <c r="F331" s="2">
        <v>1</v>
      </c>
      <c r="G331" t="s">
        <v>20</v>
      </c>
      <c r="H331">
        <v>56.6</v>
      </c>
      <c r="I331">
        <v>5.66</v>
      </c>
      <c r="J331">
        <v>16.98</v>
      </c>
      <c r="K331">
        <v>16.98</v>
      </c>
      <c r="L331">
        <v>16.98</v>
      </c>
      <c r="M331" s="6">
        <v>0.3888888888888889</v>
      </c>
      <c r="N331" s="6">
        <v>0.33333333333333331</v>
      </c>
      <c r="O331" s="6">
        <v>0.27777777777777779</v>
      </c>
      <c r="P331" s="10">
        <v>98</v>
      </c>
      <c r="Q331">
        <v>31.45</v>
      </c>
      <c r="R331">
        <v>3.15</v>
      </c>
      <c r="S331">
        <v>9.44</v>
      </c>
      <c r="T331">
        <v>9.44</v>
      </c>
      <c r="U331">
        <v>9.44</v>
      </c>
      <c r="V331" s="6">
        <v>5.8823529411764705E-2</v>
      </c>
      <c r="W331" s="6">
        <v>0.29411764705882354</v>
      </c>
      <c r="X331" s="6">
        <v>0.6470588235294118</v>
      </c>
      <c r="Y331" s="11">
        <f>VLOOKUP(G331,'[1]historico puntos 2022-2025'!$A$2:$G$19,7,0)</f>
        <v>40</v>
      </c>
      <c r="Z331" t="s">
        <v>39</v>
      </c>
      <c r="AA331">
        <f t="shared" si="17"/>
        <v>329</v>
      </c>
    </row>
    <row r="332" spans="1:27" hidden="1" x14ac:dyDescent="0.3">
      <c r="A332" t="str">
        <f t="shared" si="15"/>
        <v>2024-Santos Laguna</v>
      </c>
      <c r="B332" t="str">
        <f t="shared" si="16"/>
        <v>2024-Pachuca</v>
      </c>
      <c r="C332">
        <v>2024</v>
      </c>
      <c r="D332" t="s">
        <v>11</v>
      </c>
      <c r="E332" s="2">
        <v>0</v>
      </c>
      <c r="F332" s="2">
        <v>2</v>
      </c>
      <c r="G332" t="s">
        <v>0</v>
      </c>
      <c r="H332">
        <v>35.9</v>
      </c>
      <c r="I332">
        <v>3.59</v>
      </c>
      <c r="J332">
        <v>10.77</v>
      </c>
      <c r="K332">
        <v>10.77</v>
      </c>
      <c r="L332">
        <v>10.77</v>
      </c>
      <c r="M332" s="6">
        <v>0.23529411764705882</v>
      </c>
      <c r="N332" s="6">
        <v>0.17647058823529413</v>
      </c>
      <c r="O332" s="6">
        <v>0.58823529411764708</v>
      </c>
      <c r="P332" s="10">
        <v>46</v>
      </c>
      <c r="Q332">
        <v>56.6</v>
      </c>
      <c r="R332">
        <v>5.66</v>
      </c>
      <c r="S332">
        <v>16.98</v>
      </c>
      <c r="T332">
        <v>16.98</v>
      </c>
      <c r="U332">
        <v>16.98</v>
      </c>
      <c r="V332" s="6">
        <v>0.26315789473684209</v>
      </c>
      <c r="W332" s="6">
        <v>0.15789473684210525</v>
      </c>
      <c r="X332" s="6">
        <v>0.57894736842105265</v>
      </c>
      <c r="Y332" s="11">
        <f>VLOOKUP(G332,'[1]historico puntos 2022-2025'!$A$2:$G$19,7,0)</f>
        <v>98</v>
      </c>
      <c r="Z332" t="s">
        <v>40</v>
      </c>
      <c r="AA332">
        <f t="shared" si="17"/>
        <v>330</v>
      </c>
    </row>
    <row r="333" spans="1:27" hidden="1" x14ac:dyDescent="0.3">
      <c r="A333" t="str">
        <f t="shared" si="15"/>
        <v>2024-Pachuca</v>
      </c>
      <c r="B333" t="str">
        <f t="shared" si="16"/>
        <v>2024-Chivas</v>
      </c>
      <c r="C333">
        <v>2024</v>
      </c>
      <c r="D333" t="s">
        <v>0</v>
      </c>
      <c r="E333" s="2">
        <v>0</v>
      </c>
      <c r="F333" s="2">
        <v>1</v>
      </c>
      <c r="G333" t="s">
        <v>21</v>
      </c>
      <c r="H333">
        <v>56.6</v>
      </c>
      <c r="I333">
        <v>5.66</v>
      </c>
      <c r="J333">
        <v>16.98</v>
      </c>
      <c r="K333">
        <v>16.98</v>
      </c>
      <c r="L333">
        <v>16.98</v>
      </c>
      <c r="M333" s="6">
        <v>0.3888888888888889</v>
      </c>
      <c r="N333" s="6">
        <v>0.33333333333333331</v>
      </c>
      <c r="O333" s="6">
        <v>0.27777777777777779</v>
      </c>
      <c r="P333" s="10">
        <v>98</v>
      </c>
      <c r="Q333" t="s">
        <v>37</v>
      </c>
      <c r="R333" t="s">
        <v>37</v>
      </c>
      <c r="S333" t="s">
        <v>37</v>
      </c>
      <c r="T333" t="s">
        <v>37</v>
      </c>
      <c r="U333" t="s">
        <v>37</v>
      </c>
      <c r="V333" s="6">
        <v>0.23529411764705882</v>
      </c>
      <c r="W333" s="6">
        <v>0.23529411764705882</v>
      </c>
      <c r="X333" s="6">
        <v>0.52941176470588236</v>
      </c>
      <c r="Y333" s="11">
        <f>VLOOKUP(G333,'[1]historico puntos 2022-2025'!$A$2:$G$19,7,0)</f>
        <v>99</v>
      </c>
      <c r="Z333" t="s">
        <v>40</v>
      </c>
      <c r="AA333">
        <f t="shared" si="17"/>
        <v>331</v>
      </c>
    </row>
    <row r="334" spans="1:27" x14ac:dyDescent="0.3">
      <c r="A334" t="str">
        <f t="shared" si="15"/>
        <v>2024-Tigres</v>
      </c>
      <c r="B334" t="str">
        <f t="shared" si="16"/>
        <v>2024-Pachuca</v>
      </c>
      <c r="C334">
        <v>2024</v>
      </c>
      <c r="D334" t="s">
        <v>17</v>
      </c>
      <c r="E334" s="2">
        <v>0</v>
      </c>
      <c r="F334" s="2">
        <v>3</v>
      </c>
      <c r="G334" t="s">
        <v>0</v>
      </c>
      <c r="H334">
        <v>67</v>
      </c>
      <c r="I334">
        <v>6.7</v>
      </c>
      <c r="J334">
        <v>20.100000000000001</v>
      </c>
      <c r="K334">
        <v>20.100000000000001</v>
      </c>
      <c r="L334">
        <v>20.100000000000001</v>
      </c>
      <c r="M334" s="6">
        <v>0.7</v>
      </c>
      <c r="N334" s="6">
        <v>0.25</v>
      </c>
      <c r="O334" s="6">
        <v>0.05</v>
      </c>
      <c r="P334" s="10">
        <v>107</v>
      </c>
      <c r="Q334">
        <v>56.6</v>
      </c>
      <c r="R334">
        <v>5.66</v>
      </c>
      <c r="S334">
        <v>16.98</v>
      </c>
      <c r="T334">
        <v>16.98</v>
      </c>
      <c r="U334">
        <v>16.98</v>
      </c>
      <c r="V334" s="6">
        <v>0.26315789473684209</v>
      </c>
      <c r="W334" s="6">
        <v>0.15789473684210525</v>
      </c>
      <c r="X334" s="6">
        <v>0.57894736842105265</v>
      </c>
      <c r="Y334" s="11">
        <f>VLOOKUP(G334,'[1]historico puntos 2022-2025'!$A$2:$G$19,7,0)</f>
        <v>98</v>
      </c>
      <c r="Z334" t="s">
        <v>40</v>
      </c>
      <c r="AA334">
        <f t="shared" si="17"/>
        <v>332</v>
      </c>
    </row>
    <row r="335" spans="1:27" hidden="1" x14ac:dyDescent="0.3">
      <c r="A335" t="str">
        <f t="shared" si="15"/>
        <v>2024-Pachuca</v>
      </c>
      <c r="B335" t="str">
        <f t="shared" si="16"/>
        <v>2024-Toluca</v>
      </c>
      <c r="C335">
        <v>2024</v>
      </c>
      <c r="D335" t="s">
        <v>0</v>
      </c>
      <c r="E335" s="2">
        <v>2</v>
      </c>
      <c r="F335" s="2">
        <v>3</v>
      </c>
      <c r="G335" t="s">
        <v>2</v>
      </c>
      <c r="H335">
        <v>56.6</v>
      </c>
      <c r="I335">
        <v>5.66</v>
      </c>
      <c r="J335">
        <v>16.98</v>
      </c>
      <c r="K335">
        <v>16.98</v>
      </c>
      <c r="L335">
        <v>16.98</v>
      </c>
      <c r="M335" s="6">
        <v>0.3888888888888889</v>
      </c>
      <c r="N335" s="6">
        <v>0.33333333333333331</v>
      </c>
      <c r="O335" s="6">
        <v>0.27777777777777779</v>
      </c>
      <c r="P335" s="10">
        <v>98</v>
      </c>
      <c r="Q335">
        <v>77.45</v>
      </c>
      <c r="R335">
        <v>7.75</v>
      </c>
      <c r="S335">
        <v>23.24</v>
      </c>
      <c r="T335">
        <v>23.24</v>
      </c>
      <c r="U335">
        <v>23.24</v>
      </c>
      <c r="V335" s="6">
        <v>0.38095238095238093</v>
      </c>
      <c r="W335" s="6">
        <v>0.33333333333333331</v>
      </c>
      <c r="X335" s="6">
        <v>0.2857142857142857</v>
      </c>
      <c r="Y335" s="11">
        <f>VLOOKUP(G335,'[1]historico puntos 2022-2025'!$A$2:$G$19,7,0)</f>
        <v>118</v>
      </c>
      <c r="Z335" t="s">
        <v>40</v>
      </c>
      <c r="AA335">
        <f t="shared" si="17"/>
        <v>333</v>
      </c>
    </row>
    <row r="336" spans="1:27" hidden="1" x14ac:dyDescent="0.3">
      <c r="A336" t="str">
        <f t="shared" si="15"/>
        <v>2024-Atlético San Luis</v>
      </c>
      <c r="B336" t="str">
        <f t="shared" si="16"/>
        <v>2024-Pachuca</v>
      </c>
      <c r="C336">
        <v>2024</v>
      </c>
      <c r="D336" t="s">
        <v>15</v>
      </c>
      <c r="E336" s="2">
        <v>2</v>
      </c>
      <c r="F336" s="2">
        <v>1</v>
      </c>
      <c r="G336" t="s">
        <v>0</v>
      </c>
      <c r="H336">
        <v>45.95</v>
      </c>
      <c r="I336">
        <v>4.5999999999999996</v>
      </c>
      <c r="J336">
        <v>13.84</v>
      </c>
      <c r="K336">
        <v>13.84</v>
      </c>
      <c r="L336">
        <v>13.84</v>
      </c>
      <c r="M336" s="6">
        <v>0.68421052631578949</v>
      </c>
      <c r="N336" s="6">
        <v>5.2631578947368418E-2</v>
      </c>
      <c r="O336" s="6">
        <v>0.26315789473684209</v>
      </c>
      <c r="P336" s="10">
        <v>59</v>
      </c>
      <c r="Q336">
        <v>56.6</v>
      </c>
      <c r="R336">
        <v>5.66</v>
      </c>
      <c r="S336">
        <v>16.98</v>
      </c>
      <c r="T336">
        <v>16.98</v>
      </c>
      <c r="U336">
        <v>16.98</v>
      </c>
      <c r="V336" s="6">
        <v>0.26315789473684209</v>
      </c>
      <c r="W336" s="6">
        <v>0.15789473684210525</v>
      </c>
      <c r="X336" s="6">
        <v>0.57894736842105265</v>
      </c>
      <c r="Y336" s="11">
        <f>VLOOKUP(G336,'[1]historico puntos 2022-2025'!$A$2:$G$19,7,0)</f>
        <v>98</v>
      </c>
      <c r="Z336" t="s">
        <v>38</v>
      </c>
      <c r="AA336">
        <f t="shared" si="17"/>
        <v>334</v>
      </c>
    </row>
    <row r="337" spans="1:27" hidden="1" x14ac:dyDescent="0.3">
      <c r="A337" t="str">
        <f t="shared" si="15"/>
        <v>2024-Pachuca</v>
      </c>
      <c r="B337" t="str">
        <f t="shared" si="16"/>
        <v>2024-Querétaro</v>
      </c>
      <c r="C337">
        <v>2024</v>
      </c>
      <c r="D337" t="s">
        <v>0</v>
      </c>
      <c r="E337" s="2">
        <v>1</v>
      </c>
      <c r="F337" s="2">
        <v>2</v>
      </c>
      <c r="G337" t="s">
        <v>22</v>
      </c>
      <c r="H337">
        <v>56.6</v>
      </c>
      <c r="I337">
        <v>5.66</v>
      </c>
      <c r="J337">
        <v>16.98</v>
      </c>
      <c r="K337">
        <v>16.98</v>
      </c>
      <c r="L337">
        <v>16.98</v>
      </c>
      <c r="M337" s="6">
        <v>0.3888888888888889</v>
      </c>
      <c r="N337" s="6">
        <v>0.33333333333333331</v>
      </c>
      <c r="O337" s="6">
        <v>0.27777777777777779</v>
      </c>
      <c r="P337" s="10">
        <v>98</v>
      </c>
      <c r="Q337" t="s">
        <v>37</v>
      </c>
      <c r="R337" t="s">
        <v>37</v>
      </c>
      <c r="S337" t="s">
        <v>37</v>
      </c>
      <c r="T337" t="s">
        <v>37</v>
      </c>
      <c r="U337" t="s">
        <v>37</v>
      </c>
      <c r="V337" s="6">
        <v>0.17647058823529413</v>
      </c>
      <c r="W337" s="6">
        <v>0.17647058823529413</v>
      </c>
      <c r="X337" s="6">
        <v>0.6470588235294118</v>
      </c>
      <c r="Y337" s="11">
        <f>VLOOKUP(G337,'[1]historico puntos 2022-2025'!$A$2:$G$19,7,0)</f>
        <v>64</v>
      </c>
      <c r="Z337" t="s">
        <v>40</v>
      </c>
      <c r="AA337">
        <f t="shared" si="17"/>
        <v>335</v>
      </c>
    </row>
    <row r="338" spans="1:27" hidden="1" x14ac:dyDescent="0.3">
      <c r="A338" t="str">
        <f t="shared" si="15"/>
        <v>2024-Pachuca</v>
      </c>
      <c r="B338" t="str">
        <f t="shared" si="16"/>
        <v>2024-Juarez</v>
      </c>
      <c r="C338">
        <v>2024</v>
      </c>
      <c r="D338" t="s">
        <v>0</v>
      </c>
      <c r="E338" s="2">
        <v>3</v>
      </c>
      <c r="F338" s="2">
        <v>2</v>
      </c>
      <c r="G338" t="s">
        <v>18</v>
      </c>
      <c r="H338">
        <v>56.6</v>
      </c>
      <c r="I338">
        <v>5.66</v>
      </c>
      <c r="J338">
        <v>16.98</v>
      </c>
      <c r="K338">
        <v>16.98</v>
      </c>
      <c r="L338">
        <v>16.98</v>
      </c>
      <c r="M338" s="6">
        <v>0.3888888888888889</v>
      </c>
      <c r="N338" s="6">
        <v>0.33333333333333331</v>
      </c>
      <c r="O338" s="6">
        <v>0.27777777777777779</v>
      </c>
      <c r="P338" s="10">
        <v>98</v>
      </c>
      <c r="Q338" t="s">
        <v>37</v>
      </c>
      <c r="R338" t="s">
        <v>37</v>
      </c>
      <c r="S338" t="s">
        <v>37</v>
      </c>
      <c r="T338" t="s">
        <v>37</v>
      </c>
      <c r="U338" t="s">
        <v>37</v>
      </c>
      <c r="V338" s="6">
        <v>0.35294117647058826</v>
      </c>
      <c r="W338" s="6">
        <v>0.17647058823529413</v>
      </c>
      <c r="X338" s="6">
        <v>0.47058823529411764</v>
      </c>
      <c r="Y338" s="11">
        <f>VLOOKUP(G338,'[1]historico puntos 2022-2025'!$A$2:$G$19,7,0)</f>
        <v>55</v>
      </c>
      <c r="Z338" t="s">
        <v>38</v>
      </c>
      <c r="AA338">
        <f t="shared" si="17"/>
        <v>336</v>
      </c>
    </row>
    <row r="339" spans="1:27" hidden="1" x14ac:dyDescent="0.3">
      <c r="A339" t="str">
        <f t="shared" si="15"/>
        <v>2024-Necaxa</v>
      </c>
      <c r="B339" t="str">
        <f t="shared" si="16"/>
        <v>2024-Pachuca</v>
      </c>
      <c r="C339">
        <v>2024</v>
      </c>
      <c r="D339" t="s">
        <v>4</v>
      </c>
      <c r="E339" s="2">
        <v>1</v>
      </c>
      <c r="F339" s="2">
        <v>1</v>
      </c>
      <c r="G339" t="s">
        <v>0</v>
      </c>
      <c r="H339">
        <v>38.5</v>
      </c>
      <c r="I339">
        <v>3.85</v>
      </c>
      <c r="J339">
        <v>11.55</v>
      </c>
      <c r="K339">
        <v>11.55</v>
      </c>
      <c r="L339">
        <v>11.55</v>
      </c>
      <c r="M339" s="6">
        <v>0.44444444444444442</v>
      </c>
      <c r="N339" s="6">
        <v>0.22222222222222221</v>
      </c>
      <c r="O339" s="6">
        <v>0.33333333333333331</v>
      </c>
      <c r="P339" s="10">
        <v>77</v>
      </c>
      <c r="Q339">
        <v>56.6</v>
      </c>
      <c r="R339">
        <v>5.66</v>
      </c>
      <c r="S339">
        <v>16.98</v>
      </c>
      <c r="T339">
        <v>16.98</v>
      </c>
      <c r="U339">
        <v>16.98</v>
      </c>
      <c r="V339" s="6">
        <v>0.26315789473684209</v>
      </c>
      <c r="W339" s="6">
        <v>0.15789473684210525</v>
      </c>
      <c r="X339" s="6">
        <v>0.57894736842105265</v>
      </c>
      <c r="Y339" s="11">
        <f>VLOOKUP(G339,'[1]historico puntos 2022-2025'!$A$2:$G$19,7,0)</f>
        <v>98</v>
      </c>
      <c r="Z339" t="s">
        <v>39</v>
      </c>
      <c r="AA339">
        <f t="shared" si="17"/>
        <v>337</v>
      </c>
    </row>
    <row r="340" spans="1:27" hidden="1" x14ac:dyDescent="0.3">
      <c r="A340" t="str">
        <f t="shared" si="15"/>
        <v>2024-Puebla</v>
      </c>
      <c r="B340" t="str">
        <f t="shared" si="16"/>
        <v>2024-Pachuca</v>
      </c>
      <c r="C340">
        <v>2024</v>
      </c>
      <c r="D340" t="s">
        <v>1</v>
      </c>
      <c r="E340" s="2">
        <v>1</v>
      </c>
      <c r="F340" s="2">
        <v>4</v>
      </c>
      <c r="G340" t="s">
        <v>0</v>
      </c>
      <c r="H340">
        <v>24.1</v>
      </c>
      <c r="I340">
        <v>2.41</v>
      </c>
      <c r="J340">
        <v>7.23</v>
      </c>
      <c r="K340">
        <v>7.23</v>
      </c>
      <c r="L340">
        <v>7.23</v>
      </c>
      <c r="M340" s="6">
        <v>0.23529411764705882</v>
      </c>
      <c r="N340" s="6">
        <v>0.11764705882352941</v>
      </c>
      <c r="O340" s="6">
        <v>0.6470588235294118</v>
      </c>
      <c r="P340" s="10">
        <v>34</v>
      </c>
      <c r="Q340">
        <v>56.6</v>
      </c>
      <c r="R340">
        <v>5.66</v>
      </c>
      <c r="S340">
        <v>16.98</v>
      </c>
      <c r="T340">
        <v>16.98</v>
      </c>
      <c r="U340">
        <v>16.98</v>
      </c>
      <c r="V340" s="6">
        <v>0.26315789473684209</v>
      </c>
      <c r="W340" s="6">
        <v>0.15789473684210525</v>
      </c>
      <c r="X340" s="6">
        <v>0.57894736842105265</v>
      </c>
      <c r="Y340" s="11">
        <f>VLOOKUP(G340,'[1]historico puntos 2022-2025'!$A$2:$G$19,7,0)</f>
        <v>98</v>
      </c>
      <c r="Z340" t="s">
        <v>40</v>
      </c>
      <c r="AA340">
        <f t="shared" si="17"/>
        <v>338</v>
      </c>
    </row>
    <row r="341" spans="1:27" hidden="1" x14ac:dyDescent="0.3">
      <c r="A341" t="str">
        <f t="shared" si="15"/>
        <v>2024-Pachuca</v>
      </c>
      <c r="B341" t="str">
        <f t="shared" si="16"/>
        <v>2024-América</v>
      </c>
      <c r="C341">
        <v>2024</v>
      </c>
      <c r="D341" t="s">
        <v>0</v>
      </c>
      <c r="E341" s="2">
        <v>2</v>
      </c>
      <c r="F341" s="2">
        <v>1</v>
      </c>
      <c r="G341" t="s">
        <v>14</v>
      </c>
      <c r="H341">
        <v>56.6</v>
      </c>
      <c r="I341">
        <v>5.66</v>
      </c>
      <c r="J341">
        <v>16.98</v>
      </c>
      <c r="K341">
        <v>16.98</v>
      </c>
      <c r="L341">
        <v>16.98</v>
      </c>
      <c r="M341" s="6">
        <v>0.3888888888888889</v>
      </c>
      <c r="N341" s="6">
        <v>0.33333333333333331</v>
      </c>
      <c r="O341" s="6">
        <v>0.27777777777777779</v>
      </c>
      <c r="P341" s="10">
        <v>98</v>
      </c>
      <c r="Q341">
        <v>92.45</v>
      </c>
      <c r="R341">
        <v>9.25</v>
      </c>
      <c r="S341">
        <v>27.73</v>
      </c>
      <c r="T341">
        <v>27.73</v>
      </c>
      <c r="U341">
        <v>27.73</v>
      </c>
      <c r="V341" s="6">
        <v>0.375</v>
      </c>
      <c r="W341" s="6">
        <v>0.29166666666666669</v>
      </c>
      <c r="X341" s="6">
        <v>0.33333333333333331</v>
      </c>
      <c r="Y341" s="11">
        <f>VLOOKUP(G341,'[1]historico puntos 2022-2025'!$A$2:$G$19,7,0)</f>
        <v>133</v>
      </c>
      <c r="Z341" t="s">
        <v>38</v>
      </c>
      <c r="AA341">
        <f t="shared" si="17"/>
        <v>339</v>
      </c>
    </row>
    <row r="342" spans="1:27" hidden="1" x14ac:dyDescent="0.3">
      <c r="A342" t="str">
        <f t="shared" si="15"/>
        <v>2024-Monterrey</v>
      </c>
      <c r="B342" t="str">
        <f t="shared" si="16"/>
        <v>2024-Pachuca</v>
      </c>
      <c r="C342">
        <v>2024</v>
      </c>
      <c r="D342" t="s">
        <v>3</v>
      </c>
      <c r="E342" s="2">
        <v>3</v>
      </c>
      <c r="F342" s="2">
        <v>2</v>
      </c>
      <c r="G342" t="s">
        <v>0</v>
      </c>
      <c r="H342">
        <v>88.6</v>
      </c>
      <c r="I342">
        <v>8.86</v>
      </c>
      <c r="J342">
        <v>26.58</v>
      </c>
      <c r="K342">
        <v>26.58</v>
      </c>
      <c r="L342">
        <v>26.58</v>
      </c>
      <c r="M342" s="6">
        <v>0.60869565217391308</v>
      </c>
      <c r="N342" s="6">
        <v>0.17391304347826086</v>
      </c>
      <c r="O342" s="6">
        <v>0.21739130434782608</v>
      </c>
      <c r="P342" s="10">
        <v>118</v>
      </c>
      <c r="Q342">
        <v>56.6</v>
      </c>
      <c r="R342">
        <v>5.66</v>
      </c>
      <c r="S342">
        <v>16.98</v>
      </c>
      <c r="T342">
        <v>16.98</v>
      </c>
      <c r="U342">
        <v>16.98</v>
      </c>
      <c r="V342" s="6">
        <v>0.26315789473684209</v>
      </c>
      <c r="W342" s="6">
        <v>0.15789473684210525</v>
      </c>
      <c r="X342" s="6">
        <v>0.57894736842105265</v>
      </c>
      <c r="Y342" s="11">
        <f>VLOOKUP(G342,'[1]historico puntos 2022-2025'!$A$2:$G$19,7,0)</f>
        <v>98</v>
      </c>
      <c r="Z342" t="s">
        <v>38</v>
      </c>
      <c r="AA342">
        <f t="shared" si="17"/>
        <v>340</v>
      </c>
    </row>
    <row r="343" spans="1:27" hidden="1" x14ac:dyDescent="0.3">
      <c r="A343" t="str">
        <f t="shared" si="15"/>
        <v>2024-Pachuca</v>
      </c>
      <c r="B343" t="str">
        <f t="shared" si="16"/>
        <v>2024-León</v>
      </c>
      <c r="C343">
        <v>2024</v>
      </c>
      <c r="D343" t="s">
        <v>0</v>
      </c>
      <c r="E343" s="2">
        <v>3</v>
      </c>
      <c r="F343" s="2">
        <v>2</v>
      </c>
      <c r="G343" t="s">
        <v>36</v>
      </c>
      <c r="H343">
        <v>56.6</v>
      </c>
      <c r="I343">
        <v>5.66</v>
      </c>
      <c r="J343">
        <v>16.98</v>
      </c>
      <c r="K343">
        <v>16.98</v>
      </c>
      <c r="L343">
        <v>16.98</v>
      </c>
      <c r="M343" s="6">
        <v>0.3888888888888889</v>
      </c>
      <c r="N343" s="6">
        <v>0.33333333333333331</v>
      </c>
      <c r="O343" s="6">
        <v>0.27777777777777779</v>
      </c>
      <c r="P343" s="10">
        <v>98</v>
      </c>
      <c r="Q343">
        <v>29.55</v>
      </c>
      <c r="R343">
        <v>2.96</v>
      </c>
      <c r="S343">
        <v>8.8699999999999992</v>
      </c>
      <c r="T343">
        <v>8.8699999999999992</v>
      </c>
      <c r="U343">
        <v>8.8699999999999992</v>
      </c>
      <c r="V343" s="6">
        <v>0.27777777777777779</v>
      </c>
      <c r="W343" s="6">
        <v>0.27777777777777779</v>
      </c>
      <c r="X343" s="6">
        <v>0.44444444444444442</v>
      </c>
      <c r="Y343" s="11">
        <f>VLOOKUP(G343,'[1]historico puntos 2022-2025'!$A$2:$G$19,7,0)</f>
        <v>87</v>
      </c>
      <c r="Z343" t="s">
        <v>38</v>
      </c>
      <c r="AA343">
        <f t="shared" si="17"/>
        <v>341</v>
      </c>
    </row>
    <row r="344" spans="1:27" hidden="1" x14ac:dyDescent="0.3">
      <c r="A344" t="str">
        <f t="shared" si="15"/>
        <v>2024-Pachuca</v>
      </c>
      <c r="B344" t="str">
        <f t="shared" si="16"/>
        <v>2024-Xolos</v>
      </c>
      <c r="C344">
        <v>2024</v>
      </c>
      <c r="D344" t="s">
        <v>0</v>
      </c>
      <c r="E344" s="2">
        <v>3</v>
      </c>
      <c r="F344" s="2">
        <v>2</v>
      </c>
      <c r="G344" t="s">
        <v>19</v>
      </c>
      <c r="H344">
        <v>56.6</v>
      </c>
      <c r="I344">
        <v>5.66</v>
      </c>
      <c r="J344">
        <v>16.98</v>
      </c>
      <c r="K344">
        <v>16.98</v>
      </c>
      <c r="L344">
        <v>16.98</v>
      </c>
      <c r="M344" s="6">
        <v>0.3888888888888889</v>
      </c>
      <c r="N344" s="6">
        <v>0.33333333333333331</v>
      </c>
      <c r="O344" s="6">
        <v>0.27777777777777779</v>
      </c>
      <c r="P344" s="10">
        <v>98</v>
      </c>
      <c r="Q344">
        <v>39.15</v>
      </c>
      <c r="R344">
        <v>3.92</v>
      </c>
      <c r="S344">
        <v>11.75</v>
      </c>
      <c r="T344">
        <v>11.75</v>
      </c>
      <c r="U344">
        <v>11.75</v>
      </c>
      <c r="V344" s="6">
        <v>0.27777777777777779</v>
      </c>
      <c r="W344" s="6">
        <v>0.22222222222222221</v>
      </c>
      <c r="X344" s="6">
        <v>0.5</v>
      </c>
      <c r="Y344" s="11">
        <f>VLOOKUP(G344,'[1]historico puntos 2022-2025'!$A$2:$G$19,7,0)</f>
        <v>49</v>
      </c>
      <c r="Z344" t="s">
        <v>38</v>
      </c>
      <c r="AA344">
        <f t="shared" si="17"/>
        <v>342</v>
      </c>
    </row>
    <row r="345" spans="1:27" hidden="1" x14ac:dyDescent="0.3">
      <c r="A345" t="str">
        <f t="shared" si="15"/>
        <v>2024-Pachuca</v>
      </c>
      <c r="B345" t="str">
        <f t="shared" si="16"/>
        <v>2024-Atlas</v>
      </c>
      <c r="C345">
        <v>2024</v>
      </c>
      <c r="D345" t="s">
        <v>0</v>
      </c>
      <c r="E345" s="2">
        <v>4</v>
      </c>
      <c r="F345" s="2">
        <v>3</v>
      </c>
      <c r="G345" t="s">
        <v>5</v>
      </c>
      <c r="H345">
        <v>56.6</v>
      </c>
      <c r="I345">
        <v>5.66</v>
      </c>
      <c r="J345">
        <v>16.98</v>
      </c>
      <c r="K345">
        <v>16.98</v>
      </c>
      <c r="L345">
        <v>16.98</v>
      </c>
      <c r="M345" s="6">
        <v>0.3888888888888889</v>
      </c>
      <c r="N345" s="6">
        <v>0.33333333333333331</v>
      </c>
      <c r="O345" s="6">
        <v>0.27777777777777779</v>
      </c>
      <c r="P345" s="10">
        <v>98</v>
      </c>
      <c r="Q345">
        <v>28.95</v>
      </c>
      <c r="R345">
        <v>2.9</v>
      </c>
      <c r="S345">
        <v>8.68</v>
      </c>
      <c r="T345">
        <v>8.68</v>
      </c>
      <c r="U345">
        <v>8.68</v>
      </c>
      <c r="V345" s="6">
        <v>0.26315789473684209</v>
      </c>
      <c r="W345" s="6">
        <v>0.31578947368421051</v>
      </c>
      <c r="X345" s="6">
        <v>0.42105263157894735</v>
      </c>
      <c r="Y345" s="11">
        <f>VLOOKUP(G345,'[1]historico puntos 2022-2025'!$A$2:$G$19,7,0)</f>
        <v>60</v>
      </c>
      <c r="Z345" t="s">
        <v>38</v>
      </c>
      <c r="AA345">
        <f t="shared" si="17"/>
        <v>343</v>
      </c>
    </row>
    <row r="346" spans="1:27" hidden="1" x14ac:dyDescent="0.3">
      <c r="A346" t="str">
        <f t="shared" si="15"/>
        <v>2024-Pumas</v>
      </c>
      <c r="B346" t="str">
        <f t="shared" si="16"/>
        <v>2024-Pachuca</v>
      </c>
      <c r="C346">
        <v>2024</v>
      </c>
      <c r="D346" t="s">
        <v>16</v>
      </c>
      <c r="E346" s="2">
        <v>3</v>
      </c>
      <c r="F346" s="2">
        <v>1</v>
      </c>
      <c r="G346" t="s">
        <v>0</v>
      </c>
      <c r="H346">
        <v>47.6</v>
      </c>
      <c r="I346">
        <v>4.76</v>
      </c>
      <c r="J346">
        <v>14.28</v>
      </c>
      <c r="K346">
        <v>14.28</v>
      </c>
      <c r="L346">
        <v>14.28</v>
      </c>
      <c r="M346" s="6">
        <v>0.5</v>
      </c>
      <c r="N346" s="6">
        <v>0.16666666666666666</v>
      </c>
      <c r="O346" s="6">
        <v>0.33333333333333331</v>
      </c>
      <c r="P346" s="10">
        <v>75</v>
      </c>
      <c r="Q346">
        <v>56.6</v>
      </c>
      <c r="R346">
        <v>5.66</v>
      </c>
      <c r="S346">
        <v>16.98</v>
      </c>
      <c r="T346">
        <v>16.98</v>
      </c>
      <c r="U346">
        <v>16.98</v>
      </c>
      <c r="V346" s="6">
        <v>0.26315789473684209</v>
      </c>
      <c r="W346" s="6">
        <v>0.15789473684210525</v>
      </c>
      <c r="X346" s="6">
        <v>0.57894736842105265</v>
      </c>
      <c r="Y346" s="11">
        <f>VLOOKUP(G346,'[1]historico puntos 2022-2025'!$A$2:$G$19,7,0)</f>
        <v>98</v>
      </c>
      <c r="Z346" t="s">
        <v>38</v>
      </c>
      <c r="AA346">
        <f t="shared" si="17"/>
        <v>344</v>
      </c>
    </row>
    <row r="347" spans="1:27" hidden="1" x14ac:dyDescent="0.3">
      <c r="A347" t="str">
        <f t="shared" si="15"/>
        <v>2024-Cruz Azul</v>
      </c>
      <c r="B347" t="str">
        <f t="shared" si="16"/>
        <v>2024-Pachuca</v>
      </c>
      <c r="C347">
        <v>2024</v>
      </c>
      <c r="D347" t="s">
        <v>10</v>
      </c>
      <c r="E347" s="2">
        <v>0</v>
      </c>
      <c r="F347" s="2">
        <v>1</v>
      </c>
      <c r="G347" t="s">
        <v>0</v>
      </c>
      <c r="H347">
        <v>78.849999999999994</v>
      </c>
      <c r="I347">
        <v>7.89</v>
      </c>
      <c r="J347">
        <v>23.66</v>
      </c>
      <c r="K347">
        <v>23.66</v>
      </c>
      <c r="L347">
        <v>23.66</v>
      </c>
      <c r="M347" s="6">
        <v>0.7142857142857143</v>
      </c>
      <c r="N347" s="6">
        <v>0.23809523809523808</v>
      </c>
      <c r="O347" s="6">
        <v>4.7619047619047616E-2</v>
      </c>
      <c r="P347" s="10">
        <v>107</v>
      </c>
      <c r="Q347">
        <v>56.6</v>
      </c>
      <c r="R347">
        <v>5.66</v>
      </c>
      <c r="S347">
        <v>16.98</v>
      </c>
      <c r="T347">
        <v>16.98</v>
      </c>
      <c r="U347">
        <v>16.98</v>
      </c>
      <c r="V347" s="6">
        <v>0.26315789473684209</v>
      </c>
      <c r="W347" s="6">
        <v>0.15789473684210525</v>
      </c>
      <c r="X347" s="6">
        <v>0.57894736842105265</v>
      </c>
      <c r="Y347" s="11">
        <f>VLOOKUP(G347,'[1]historico puntos 2022-2025'!$A$2:$G$19,7,0)</f>
        <v>98</v>
      </c>
      <c r="Z347" t="s">
        <v>40</v>
      </c>
      <c r="AA347">
        <f t="shared" si="17"/>
        <v>345</v>
      </c>
    </row>
    <row r="348" spans="1:27" hidden="1" x14ac:dyDescent="0.3">
      <c r="A348" t="str">
        <f t="shared" si="15"/>
        <v>2023-Xolos</v>
      </c>
      <c r="B348" t="str">
        <f t="shared" si="16"/>
        <v>2023-Pachuca</v>
      </c>
      <c r="C348">
        <v>2023</v>
      </c>
      <c r="D348" t="s">
        <v>19</v>
      </c>
      <c r="E348" s="2">
        <v>2</v>
      </c>
      <c r="F348" s="2">
        <v>3</v>
      </c>
      <c r="G348" t="s">
        <v>0</v>
      </c>
      <c r="H348">
        <v>38.299999999999997</v>
      </c>
      <c r="I348">
        <v>3.83</v>
      </c>
      <c r="J348">
        <v>11.49</v>
      </c>
      <c r="K348">
        <v>11.49</v>
      </c>
      <c r="L348">
        <v>11.49</v>
      </c>
      <c r="M348" s="6">
        <v>0.55000000000000004</v>
      </c>
      <c r="N348" s="6">
        <v>0.15</v>
      </c>
      <c r="O348" s="6">
        <v>0.3</v>
      </c>
      <c r="P348" s="10">
        <v>49</v>
      </c>
      <c r="Q348">
        <v>51.25</v>
      </c>
      <c r="R348">
        <v>5.13</v>
      </c>
      <c r="S348">
        <v>15.38</v>
      </c>
      <c r="T348">
        <v>15.38</v>
      </c>
      <c r="U348">
        <v>15.38</v>
      </c>
      <c r="V348" s="6">
        <v>0.26315789473684209</v>
      </c>
      <c r="W348" s="6">
        <v>0.15789473684210525</v>
      </c>
      <c r="X348" s="6">
        <v>0.57894736842105265</v>
      </c>
      <c r="Y348" s="11">
        <f>VLOOKUP(G348,'[1]historico puntos 2022-2025'!$A$2:$G$19,7,0)</f>
        <v>98</v>
      </c>
      <c r="Z348" t="s">
        <v>40</v>
      </c>
      <c r="AA348">
        <f t="shared" si="17"/>
        <v>346</v>
      </c>
    </row>
    <row r="349" spans="1:27" hidden="1" x14ac:dyDescent="0.3">
      <c r="A349" t="str">
        <f t="shared" si="15"/>
        <v>2023-Pachuca</v>
      </c>
      <c r="B349" t="str">
        <f t="shared" si="16"/>
        <v>2023-Monterrey</v>
      </c>
      <c r="C349">
        <v>2023</v>
      </c>
      <c r="D349" t="s">
        <v>0</v>
      </c>
      <c r="E349" s="2">
        <v>0</v>
      </c>
      <c r="F349" s="2">
        <v>2</v>
      </c>
      <c r="G349" t="s">
        <v>3</v>
      </c>
      <c r="H349">
        <v>51.25</v>
      </c>
      <c r="I349">
        <v>5.13</v>
      </c>
      <c r="J349">
        <v>15.38</v>
      </c>
      <c r="K349">
        <v>15.38</v>
      </c>
      <c r="L349">
        <v>15.38</v>
      </c>
      <c r="M349" s="6">
        <v>0.3888888888888889</v>
      </c>
      <c r="N349" s="6">
        <v>0.33333333333333331</v>
      </c>
      <c r="O349" s="6">
        <v>0.27777777777777779</v>
      </c>
      <c r="P349" s="10">
        <v>98</v>
      </c>
      <c r="Q349">
        <v>88.1</v>
      </c>
      <c r="R349">
        <v>8.81</v>
      </c>
      <c r="S349">
        <v>26.43</v>
      </c>
      <c r="T349">
        <v>26.43</v>
      </c>
      <c r="U349">
        <v>26.43</v>
      </c>
      <c r="V349" s="6">
        <v>0.38095238095238093</v>
      </c>
      <c r="W349" s="6">
        <v>0.23809523809523808</v>
      </c>
      <c r="X349" s="6">
        <v>0.38095238095238093</v>
      </c>
      <c r="Y349" s="11">
        <f>VLOOKUP(G349,'[1]historico puntos 2022-2025'!$A$2:$G$19,7,0)</f>
        <v>118</v>
      </c>
      <c r="Z349" t="s">
        <v>40</v>
      </c>
      <c r="AA349">
        <f t="shared" si="17"/>
        <v>347</v>
      </c>
    </row>
    <row r="350" spans="1:27" hidden="1" x14ac:dyDescent="0.3">
      <c r="A350" t="str">
        <f t="shared" si="15"/>
        <v>2023-Atlas</v>
      </c>
      <c r="B350" t="str">
        <f t="shared" si="16"/>
        <v>2023-Pachuca</v>
      </c>
      <c r="C350">
        <v>2023</v>
      </c>
      <c r="D350" t="s">
        <v>5</v>
      </c>
      <c r="E350" s="2">
        <v>0</v>
      </c>
      <c r="F350" s="2">
        <v>2</v>
      </c>
      <c r="G350" t="s">
        <v>0</v>
      </c>
      <c r="H350">
        <v>30.7</v>
      </c>
      <c r="I350">
        <v>3.07</v>
      </c>
      <c r="J350">
        <v>9.2100000000000009</v>
      </c>
      <c r="K350">
        <v>9.2100000000000009</v>
      </c>
      <c r="L350">
        <v>9.2100000000000009</v>
      </c>
      <c r="M350" s="6" t="s">
        <v>37</v>
      </c>
      <c r="N350" s="6" t="s">
        <v>37</v>
      </c>
      <c r="O350" s="6" t="s">
        <v>37</v>
      </c>
      <c r="P350" s="10">
        <v>60</v>
      </c>
      <c r="Q350">
        <v>51.25</v>
      </c>
      <c r="R350">
        <v>5.13</v>
      </c>
      <c r="S350">
        <v>15.38</v>
      </c>
      <c r="T350">
        <v>15.38</v>
      </c>
      <c r="U350">
        <v>15.38</v>
      </c>
      <c r="V350" s="6">
        <v>0.26315789473684209</v>
      </c>
      <c r="W350" s="6">
        <v>0.15789473684210525</v>
      </c>
      <c r="X350" s="6">
        <v>0.57894736842105265</v>
      </c>
      <c r="Y350" s="11">
        <f>VLOOKUP(G350,'[1]historico puntos 2022-2025'!$A$2:$G$19,7,0)</f>
        <v>98</v>
      </c>
      <c r="Z350" t="s">
        <v>40</v>
      </c>
      <c r="AA350">
        <f t="shared" si="17"/>
        <v>348</v>
      </c>
    </row>
    <row r="351" spans="1:27" hidden="1" x14ac:dyDescent="0.3">
      <c r="A351" t="str">
        <f t="shared" si="15"/>
        <v>2023-Pachuca</v>
      </c>
      <c r="B351" t="str">
        <f t="shared" si="16"/>
        <v>2023-Puebla</v>
      </c>
      <c r="C351">
        <v>2023</v>
      </c>
      <c r="D351" t="s">
        <v>0</v>
      </c>
      <c r="E351" s="2">
        <v>1</v>
      </c>
      <c r="F351" s="2">
        <v>1</v>
      </c>
      <c r="G351" t="s">
        <v>1</v>
      </c>
      <c r="H351">
        <v>51.25</v>
      </c>
      <c r="I351">
        <v>5.13</v>
      </c>
      <c r="J351">
        <v>15.38</v>
      </c>
      <c r="K351">
        <v>15.38</v>
      </c>
      <c r="L351">
        <v>15.38</v>
      </c>
      <c r="M351" s="6">
        <v>0.3888888888888889</v>
      </c>
      <c r="N351" s="6">
        <v>0.33333333333333331</v>
      </c>
      <c r="O351" s="6">
        <v>0.27777777777777779</v>
      </c>
      <c r="P351" s="10">
        <v>98</v>
      </c>
      <c r="Q351">
        <v>26.7</v>
      </c>
      <c r="R351">
        <v>2.67</v>
      </c>
      <c r="S351">
        <v>8.01</v>
      </c>
      <c r="T351">
        <v>8.01</v>
      </c>
      <c r="U351">
        <v>8.01</v>
      </c>
      <c r="V351" s="6">
        <v>0.11764705882352941</v>
      </c>
      <c r="W351" s="6">
        <v>0.17647058823529413</v>
      </c>
      <c r="X351" s="6">
        <v>0.70588235294117652</v>
      </c>
      <c r="Y351" s="11">
        <f>VLOOKUP(G351,'[1]historico puntos 2022-2025'!$A$2:$G$19,7,0)</f>
        <v>34</v>
      </c>
      <c r="Z351" t="s">
        <v>39</v>
      </c>
      <c r="AA351">
        <f t="shared" si="17"/>
        <v>349</v>
      </c>
    </row>
    <row r="352" spans="1:27" hidden="1" x14ac:dyDescent="0.3">
      <c r="A352" t="str">
        <f t="shared" si="15"/>
        <v>2023-Pachuca</v>
      </c>
      <c r="B352" t="str">
        <f t="shared" si="16"/>
        <v>2023-Tigres</v>
      </c>
      <c r="C352">
        <v>2023</v>
      </c>
      <c r="D352" t="s">
        <v>0</v>
      </c>
      <c r="E352" s="2">
        <v>1</v>
      </c>
      <c r="F352" s="2">
        <v>1</v>
      </c>
      <c r="G352" t="s">
        <v>17</v>
      </c>
      <c r="H352">
        <v>51.25</v>
      </c>
      <c r="I352">
        <v>5.13</v>
      </c>
      <c r="J352">
        <v>15.38</v>
      </c>
      <c r="K352">
        <v>15.38</v>
      </c>
      <c r="L352">
        <v>15.38</v>
      </c>
      <c r="M352" s="6">
        <v>0.3888888888888889</v>
      </c>
      <c r="N352" s="6">
        <v>0.33333333333333331</v>
      </c>
      <c r="O352" s="6">
        <v>0.27777777777777779</v>
      </c>
      <c r="P352" s="10">
        <v>98</v>
      </c>
      <c r="Q352" t="s">
        <v>37</v>
      </c>
      <c r="R352" t="s">
        <v>37</v>
      </c>
      <c r="S352" t="s">
        <v>37</v>
      </c>
      <c r="T352" t="s">
        <v>37</v>
      </c>
      <c r="U352" t="s">
        <v>37</v>
      </c>
      <c r="V352" s="6">
        <v>0.3</v>
      </c>
      <c r="W352" s="6">
        <v>0.3</v>
      </c>
      <c r="X352" s="6">
        <v>0.4</v>
      </c>
      <c r="Y352" s="11">
        <f>VLOOKUP(G352,'[1]historico puntos 2022-2025'!$A$2:$G$19,7,0)</f>
        <v>107</v>
      </c>
      <c r="Z352" t="s">
        <v>39</v>
      </c>
      <c r="AA352">
        <f t="shared" si="17"/>
        <v>350</v>
      </c>
    </row>
    <row r="353" spans="1:27" hidden="1" x14ac:dyDescent="0.3">
      <c r="A353" t="str">
        <f t="shared" si="15"/>
        <v>2023-América</v>
      </c>
      <c r="B353" t="str">
        <f t="shared" si="16"/>
        <v>2023-Pachuca</v>
      </c>
      <c r="C353">
        <v>2023</v>
      </c>
      <c r="D353" t="s">
        <v>14</v>
      </c>
      <c r="E353" s="2">
        <v>4</v>
      </c>
      <c r="F353" s="2">
        <v>0</v>
      </c>
      <c r="G353" t="s">
        <v>0</v>
      </c>
      <c r="H353">
        <v>84.2</v>
      </c>
      <c r="I353">
        <v>8.42</v>
      </c>
      <c r="J353">
        <v>25.26</v>
      </c>
      <c r="K353">
        <v>25.26</v>
      </c>
      <c r="L353">
        <v>25.26</v>
      </c>
      <c r="M353" s="6">
        <v>0.65217391304347827</v>
      </c>
      <c r="N353" s="6">
        <v>0.21739130434782608</v>
      </c>
      <c r="O353" s="6">
        <v>0.13043478260869565</v>
      </c>
      <c r="P353" s="10">
        <v>133</v>
      </c>
      <c r="Q353">
        <v>51.25</v>
      </c>
      <c r="R353">
        <v>5.13</v>
      </c>
      <c r="S353">
        <v>15.38</v>
      </c>
      <c r="T353">
        <v>15.38</v>
      </c>
      <c r="U353">
        <v>15.38</v>
      </c>
      <c r="V353" s="6">
        <v>0.26315789473684209</v>
      </c>
      <c r="W353" s="6">
        <v>0.15789473684210525</v>
      </c>
      <c r="X353" s="6">
        <v>0.57894736842105265</v>
      </c>
      <c r="Y353" s="11">
        <f>VLOOKUP(G353,'[1]historico puntos 2022-2025'!$A$2:$G$19,7,0)</f>
        <v>98</v>
      </c>
      <c r="Z353" t="s">
        <v>38</v>
      </c>
      <c r="AA353">
        <f t="shared" si="17"/>
        <v>351</v>
      </c>
    </row>
    <row r="354" spans="1:27" hidden="1" x14ac:dyDescent="0.3">
      <c r="A354" t="str">
        <f t="shared" si="15"/>
        <v>2023-Chivas</v>
      </c>
      <c r="B354" t="str">
        <f t="shared" si="16"/>
        <v>2023-Pachuca</v>
      </c>
      <c r="C354">
        <v>2023</v>
      </c>
      <c r="D354" t="s">
        <v>21</v>
      </c>
      <c r="E354" s="2">
        <v>0</v>
      </c>
      <c r="F354" s="2">
        <v>0</v>
      </c>
      <c r="G354" t="s">
        <v>0</v>
      </c>
      <c r="H354">
        <v>69.7</v>
      </c>
      <c r="I354">
        <v>6.97</v>
      </c>
      <c r="J354">
        <v>20.91</v>
      </c>
      <c r="K354">
        <v>20.91</v>
      </c>
      <c r="L354">
        <v>20.91</v>
      </c>
      <c r="M354" s="6">
        <v>0.44444444444444442</v>
      </c>
      <c r="N354" s="6">
        <v>0.33333333333333331</v>
      </c>
      <c r="O354" s="6">
        <v>0.22222222222222221</v>
      </c>
      <c r="P354" s="10">
        <v>99</v>
      </c>
      <c r="Q354">
        <v>51.25</v>
      </c>
      <c r="R354">
        <v>5.13</v>
      </c>
      <c r="S354">
        <v>15.38</v>
      </c>
      <c r="T354">
        <v>15.38</v>
      </c>
      <c r="U354">
        <v>15.38</v>
      </c>
      <c r="V354" s="6">
        <v>0.26315789473684209</v>
      </c>
      <c r="W354" s="6">
        <v>0.15789473684210525</v>
      </c>
      <c r="X354" s="6">
        <v>0.57894736842105265</v>
      </c>
      <c r="Y354" s="11">
        <f>VLOOKUP(G354,'[1]historico puntos 2022-2025'!$A$2:$G$19,7,0)</f>
        <v>98</v>
      </c>
      <c r="Z354" t="s">
        <v>39</v>
      </c>
      <c r="AA354">
        <f t="shared" si="17"/>
        <v>352</v>
      </c>
    </row>
    <row r="355" spans="1:27" hidden="1" x14ac:dyDescent="0.3">
      <c r="A355" t="str">
        <f t="shared" si="15"/>
        <v>2023-Pachuca</v>
      </c>
      <c r="B355" t="str">
        <f t="shared" si="16"/>
        <v>2023-Santos Laguna</v>
      </c>
      <c r="C355">
        <v>2023</v>
      </c>
      <c r="D355" t="s">
        <v>0</v>
      </c>
      <c r="E355" s="2">
        <v>3</v>
      </c>
      <c r="F355" s="2">
        <v>2</v>
      </c>
      <c r="G355" t="s">
        <v>11</v>
      </c>
      <c r="H355">
        <v>51.25</v>
      </c>
      <c r="I355">
        <v>5.13</v>
      </c>
      <c r="J355">
        <v>15.38</v>
      </c>
      <c r="K355">
        <v>15.38</v>
      </c>
      <c r="L355">
        <v>15.38</v>
      </c>
      <c r="M355" s="6">
        <v>0.3888888888888889</v>
      </c>
      <c r="N355" s="6">
        <v>0.33333333333333331</v>
      </c>
      <c r="O355" s="6">
        <v>0.27777777777777779</v>
      </c>
      <c r="P355" s="10">
        <v>98</v>
      </c>
      <c r="Q355" t="s">
        <v>37</v>
      </c>
      <c r="R355" t="s">
        <v>37</v>
      </c>
      <c r="S355" t="s">
        <v>37</v>
      </c>
      <c r="T355" t="s">
        <v>37</v>
      </c>
      <c r="U355" t="s">
        <v>37</v>
      </c>
      <c r="V355" s="6">
        <v>0</v>
      </c>
      <c r="W355" s="6">
        <v>0.11764705882352941</v>
      </c>
      <c r="X355" s="6">
        <v>0.88235294117647056</v>
      </c>
      <c r="Y355" s="11">
        <f>VLOOKUP(G355,'[1]historico puntos 2022-2025'!$A$2:$G$19,7,0)</f>
        <v>46</v>
      </c>
      <c r="Z355" t="s">
        <v>38</v>
      </c>
      <c r="AA355">
        <f t="shared" si="17"/>
        <v>353</v>
      </c>
    </row>
    <row r="356" spans="1:27" hidden="1" x14ac:dyDescent="0.3">
      <c r="A356" t="str">
        <f t="shared" si="15"/>
        <v>2023-Toluca</v>
      </c>
      <c r="B356" t="str">
        <f t="shared" si="16"/>
        <v>2023-Pachuca</v>
      </c>
      <c r="C356">
        <v>2023</v>
      </c>
      <c r="D356" t="s">
        <v>2</v>
      </c>
      <c r="E356" s="2">
        <v>5</v>
      </c>
      <c r="F356" s="2">
        <v>0</v>
      </c>
      <c r="G356" t="s">
        <v>0</v>
      </c>
      <c r="H356">
        <v>66.2</v>
      </c>
      <c r="I356">
        <v>6.62</v>
      </c>
      <c r="J356">
        <v>19.86</v>
      </c>
      <c r="K356">
        <v>19.86</v>
      </c>
      <c r="L356">
        <v>19.86</v>
      </c>
      <c r="M356" s="6">
        <v>0.76190476190476186</v>
      </c>
      <c r="N356" s="6">
        <v>0.19047619047619047</v>
      </c>
      <c r="O356" s="6">
        <v>4.7619047619047616E-2</v>
      </c>
      <c r="P356" s="10">
        <v>118</v>
      </c>
      <c r="Q356">
        <v>51.25</v>
      </c>
      <c r="R356">
        <v>5.13</v>
      </c>
      <c r="S356">
        <v>15.38</v>
      </c>
      <c r="T356">
        <v>15.38</v>
      </c>
      <c r="U356">
        <v>15.38</v>
      </c>
      <c r="V356" s="6">
        <v>0.26315789473684209</v>
      </c>
      <c r="W356" s="6">
        <v>0.15789473684210525</v>
      </c>
      <c r="X356" s="6">
        <v>0.57894736842105265</v>
      </c>
      <c r="Y356" s="11">
        <f>VLOOKUP(G356,'[1]historico puntos 2022-2025'!$A$2:$G$19,7,0)</f>
        <v>98</v>
      </c>
      <c r="Z356" t="s">
        <v>38</v>
      </c>
      <c r="AA356">
        <f t="shared" si="17"/>
        <v>354</v>
      </c>
    </row>
    <row r="357" spans="1:27" hidden="1" x14ac:dyDescent="0.3">
      <c r="A357" t="str">
        <f t="shared" si="15"/>
        <v>2023-Pachuca</v>
      </c>
      <c r="B357" t="str">
        <f t="shared" si="16"/>
        <v>2023-Atlético San Luis</v>
      </c>
      <c r="C357">
        <v>2023</v>
      </c>
      <c r="D357" t="s">
        <v>0</v>
      </c>
      <c r="E357" s="2">
        <v>0</v>
      </c>
      <c r="F357" s="2">
        <v>2</v>
      </c>
      <c r="G357" t="s">
        <v>15</v>
      </c>
      <c r="H357">
        <v>51.25</v>
      </c>
      <c r="I357">
        <v>5.13</v>
      </c>
      <c r="J357">
        <v>15.38</v>
      </c>
      <c r="K357">
        <v>15.38</v>
      </c>
      <c r="L357">
        <v>15.38</v>
      </c>
      <c r="M357" s="6">
        <v>0.3888888888888889</v>
      </c>
      <c r="N357" s="6">
        <v>0.33333333333333331</v>
      </c>
      <c r="O357" s="6">
        <v>0.27777777777777779</v>
      </c>
      <c r="P357" s="10">
        <v>98</v>
      </c>
      <c r="Q357">
        <v>35.85</v>
      </c>
      <c r="R357">
        <v>3.59</v>
      </c>
      <c r="S357">
        <v>10.77</v>
      </c>
      <c r="T357">
        <v>10.77</v>
      </c>
      <c r="U357">
        <v>10.77</v>
      </c>
      <c r="V357" s="6">
        <v>0.21052631578947367</v>
      </c>
      <c r="W357" s="6">
        <v>0.15789473684210525</v>
      </c>
      <c r="X357" s="6">
        <v>0.63157894736842102</v>
      </c>
      <c r="Y357" s="11">
        <f>VLOOKUP(G357,'[1]historico puntos 2022-2025'!$A$2:$G$19,7,0)</f>
        <v>59</v>
      </c>
      <c r="Z357" t="s">
        <v>40</v>
      </c>
      <c r="AA357">
        <f t="shared" si="17"/>
        <v>355</v>
      </c>
    </row>
    <row r="358" spans="1:27" hidden="1" x14ac:dyDescent="0.3">
      <c r="A358" t="str">
        <f t="shared" si="15"/>
        <v>2023-Pachuca</v>
      </c>
      <c r="B358" t="str">
        <f t="shared" si="16"/>
        <v>2023-Cruz Azul</v>
      </c>
      <c r="C358">
        <v>2023</v>
      </c>
      <c r="D358" t="s">
        <v>0</v>
      </c>
      <c r="E358" s="2">
        <v>1</v>
      </c>
      <c r="F358" s="2">
        <v>0</v>
      </c>
      <c r="G358" t="s">
        <v>10</v>
      </c>
      <c r="H358">
        <v>51.25</v>
      </c>
      <c r="I358">
        <v>5.13</v>
      </c>
      <c r="J358">
        <v>15.38</v>
      </c>
      <c r="K358">
        <v>15.38</v>
      </c>
      <c r="L358">
        <v>15.38</v>
      </c>
      <c r="M358" s="6">
        <v>0.3888888888888889</v>
      </c>
      <c r="N358" s="6">
        <v>0.33333333333333331</v>
      </c>
      <c r="O358" s="6">
        <v>0.27777777777777779</v>
      </c>
      <c r="P358" s="10">
        <v>98</v>
      </c>
      <c r="Q358">
        <v>72.2</v>
      </c>
      <c r="R358">
        <v>7.22</v>
      </c>
      <c r="S358">
        <v>21.66</v>
      </c>
      <c r="T358">
        <v>21.66</v>
      </c>
      <c r="U358">
        <v>21.66</v>
      </c>
      <c r="V358" s="6">
        <v>0.52380952380952384</v>
      </c>
      <c r="W358" s="6">
        <v>0.23809523809523808</v>
      </c>
      <c r="X358" s="6">
        <v>0.23809523809523808</v>
      </c>
      <c r="Y358" s="11">
        <f>VLOOKUP(G358,'[1]historico puntos 2022-2025'!$A$2:$G$19,7,0)</f>
        <v>107</v>
      </c>
      <c r="Z358" t="s">
        <v>38</v>
      </c>
      <c r="AA358">
        <f t="shared" si="17"/>
        <v>356</v>
      </c>
    </row>
    <row r="359" spans="1:27" hidden="1" x14ac:dyDescent="0.3">
      <c r="A359" t="str">
        <f t="shared" si="15"/>
        <v>2023-Querétaro</v>
      </c>
      <c r="B359" t="str">
        <f t="shared" si="16"/>
        <v>2023-Pachuca</v>
      </c>
      <c r="C359">
        <v>2023</v>
      </c>
      <c r="D359" t="s">
        <v>22</v>
      </c>
      <c r="E359" s="2">
        <v>1</v>
      </c>
      <c r="F359" s="2">
        <v>1</v>
      </c>
      <c r="G359" t="s">
        <v>0</v>
      </c>
      <c r="H359">
        <v>21.45</v>
      </c>
      <c r="I359">
        <v>2.14</v>
      </c>
      <c r="J359">
        <v>6.44</v>
      </c>
      <c r="K359">
        <v>6.44</v>
      </c>
      <c r="L359">
        <v>6.44</v>
      </c>
      <c r="M359" s="6">
        <v>0.35294117647058826</v>
      </c>
      <c r="N359" s="6">
        <v>0.11764705882352941</v>
      </c>
      <c r="O359" s="6">
        <v>0.52941176470588236</v>
      </c>
      <c r="P359" s="10">
        <v>64</v>
      </c>
      <c r="Q359">
        <v>51.25</v>
      </c>
      <c r="R359">
        <v>5.13</v>
      </c>
      <c r="S359">
        <v>15.38</v>
      </c>
      <c r="T359">
        <v>15.38</v>
      </c>
      <c r="U359">
        <v>15.38</v>
      </c>
      <c r="V359" s="6">
        <v>0.26315789473684209</v>
      </c>
      <c r="W359" s="6">
        <v>0.15789473684210525</v>
      </c>
      <c r="X359" s="6">
        <v>0.57894736842105265</v>
      </c>
      <c r="Y359" s="11">
        <f>VLOOKUP(G359,'[1]historico puntos 2022-2025'!$A$2:$G$19,7,0)</f>
        <v>98</v>
      </c>
      <c r="Z359" t="s">
        <v>39</v>
      </c>
      <c r="AA359">
        <f t="shared" si="17"/>
        <v>357</v>
      </c>
    </row>
    <row r="360" spans="1:27" hidden="1" x14ac:dyDescent="0.3">
      <c r="A360" t="str">
        <f t="shared" si="15"/>
        <v>2023-Pachuca</v>
      </c>
      <c r="B360" t="str">
        <f t="shared" si="16"/>
        <v>2023-Pumas</v>
      </c>
      <c r="C360">
        <v>2023</v>
      </c>
      <c r="D360" t="s">
        <v>0</v>
      </c>
      <c r="E360" s="2">
        <v>1</v>
      </c>
      <c r="F360" s="2">
        <v>1</v>
      </c>
      <c r="G360" t="s">
        <v>16</v>
      </c>
      <c r="H360">
        <v>51.25</v>
      </c>
      <c r="I360">
        <v>5.13</v>
      </c>
      <c r="J360">
        <v>15.38</v>
      </c>
      <c r="K360">
        <v>15.38</v>
      </c>
      <c r="L360">
        <v>15.38</v>
      </c>
      <c r="M360" s="6">
        <v>0.3888888888888889</v>
      </c>
      <c r="N360" s="6">
        <v>0.33333333333333331</v>
      </c>
      <c r="O360" s="6">
        <v>0.27777777777777779</v>
      </c>
      <c r="P360" s="10">
        <v>98</v>
      </c>
      <c r="Q360" t="s">
        <v>37</v>
      </c>
      <c r="R360" t="s">
        <v>37</v>
      </c>
      <c r="S360" t="s">
        <v>37</v>
      </c>
      <c r="T360" t="s">
        <v>37</v>
      </c>
      <c r="U360" t="s">
        <v>37</v>
      </c>
      <c r="V360" s="6">
        <v>0.3</v>
      </c>
      <c r="W360" s="6">
        <v>0.25</v>
      </c>
      <c r="X360" s="6">
        <v>0.45</v>
      </c>
      <c r="Y360" s="11">
        <f>VLOOKUP(G360,'[1]historico puntos 2022-2025'!$A$2:$G$19,7,0)</f>
        <v>75</v>
      </c>
      <c r="Z360" t="s">
        <v>39</v>
      </c>
      <c r="AA360">
        <f t="shared" si="17"/>
        <v>358</v>
      </c>
    </row>
    <row r="361" spans="1:27" hidden="1" x14ac:dyDescent="0.3">
      <c r="A361" t="str">
        <f t="shared" si="15"/>
        <v>2023-León</v>
      </c>
      <c r="B361" t="str">
        <f t="shared" si="16"/>
        <v>2023-Pachuca</v>
      </c>
      <c r="C361">
        <v>2023</v>
      </c>
      <c r="D361" t="s">
        <v>36</v>
      </c>
      <c r="E361" s="2">
        <v>4</v>
      </c>
      <c r="F361" s="2">
        <v>0</v>
      </c>
      <c r="G361" t="s">
        <v>0</v>
      </c>
      <c r="H361">
        <v>41.5</v>
      </c>
      <c r="I361">
        <v>4.1500000000000004</v>
      </c>
      <c r="J361">
        <v>12.45</v>
      </c>
      <c r="K361">
        <v>12.45</v>
      </c>
      <c r="L361">
        <v>12.45</v>
      </c>
      <c r="M361" s="6">
        <v>0.3888888888888889</v>
      </c>
      <c r="N361" s="6">
        <v>0.3888888888888889</v>
      </c>
      <c r="O361" s="6">
        <v>0.22222222222222221</v>
      </c>
      <c r="P361" s="10">
        <v>87</v>
      </c>
      <c r="Q361">
        <v>51.25</v>
      </c>
      <c r="R361">
        <v>5.13</v>
      </c>
      <c r="S361">
        <v>15.38</v>
      </c>
      <c r="T361">
        <v>15.38</v>
      </c>
      <c r="U361">
        <v>15.38</v>
      </c>
      <c r="V361" s="6">
        <v>0.26315789473684209</v>
      </c>
      <c r="W361" s="6">
        <v>0.15789473684210525</v>
      </c>
      <c r="X361" s="6">
        <v>0.57894736842105265</v>
      </c>
      <c r="Y361" s="11">
        <f>VLOOKUP(G361,'[1]historico puntos 2022-2025'!$A$2:$G$19,7,0)</f>
        <v>98</v>
      </c>
      <c r="Z361" t="s">
        <v>38</v>
      </c>
      <c r="AA361">
        <f t="shared" si="17"/>
        <v>359</v>
      </c>
    </row>
    <row r="362" spans="1:27" hidden="1" x14ac:dyDescent="0.3">
      <c r="A362" t="str">
        <f t="shared" si="15"/>
        <v>2023-Mazatlán</v>
      </c>
      <c r="B362" t="str">
        <f t="shared" si="16"/>
        <v>2023-Pachuca</v>
      </c>
      <c r="C362">
        <v>2023</v>
      </c>
      <c r="D362" t="s">
        <v>20</v>
      </c>
      <c r="E362" s="2">
        <v>1</v>
      </c>
      <c r="F362" s="2">
        <v>1</v>
      </c>
      <c r="G362" t="s">
        <v>0</v>
      </c>
      <c r="H362">
        <v>35.049999999999997</v>
      </c>
      <c r="I362">
        <v>3.5</v>
      </c>
      <c r="J362">
        <v>10.51</v>
      </c>
      <c r="K362">
        <v>10.51</v>
      </c>
      <c r="L362">
        <v>10.51</v>
      </c>
      <c r="M362" s="6">
        <v>0.29411764705882354</v>
      </c>
      <c r="N362" s="6">
        <v>0.47058823529411764</v>
      </c>
      <c r="O362" s="6">
        <v>0.23529411764705882</v>
      </c>
      <c r="P362" s="10">
        <v>40</v>
      </c>
      <c r="Q362">
        <v>51.25</v>
      </c>
      <c r="R362">
        <v>5.13</v>
      </c>
      <c r="S362">
        <v>15.38</v>
      </c>
      <c r="T362">
        <v>15.38</v>
      </c>
      <c r="U362">
        <v>15.38</v>
      </c>
      <c r="V362" s="6">
        <v>0.26315789473684209</v>
      </c>
      <c r="W362" s="6">
        <v>0.15789473684210525</v>
      </c>
      <c r="X362" s="6">
        <v>0.57894736842105265</v>
      </c>
      <c r="Y362" s="11">
        <f>VLOOKUP(G362,'[1]historico puntos 2022-2025'!$A$2:$G$19,7,0)</f>
        <v>98</v>
      </c>
      <c r="Z362" t="s">
        <v>39</v>
      </c>
      <c r="AA362">
        <f t="shared" si="17"/>
        <v>360</v>
      </c>
    </row>
    <row r="363" spans="1:27" hidden="1" x14ac:dyDescent="0.3">
      <c r="A363" t="str">
        <f t="shared" si="15"/>
        <v>2024-Puebla</v>
      </c>
      <c r="B363" t="str">
        <f t="shared" si="16"/>
        <v>2024-América</v>
      </c>
      <c r="C363">
        <v>2024</v>
      </c>
      <c r="D363" t="s">
        <v>1</v>
      </c>
      <c r="E363" s="2">
        <v>1</v>
      </c>
      <c r="F363" s="2">
        <v>2</v>
      </c>
      <c r="G363" t="s">
        <v>14</v>
      </c>
      <c r="H363">
        <v>24.1</v>
      </c>
      <c r="I363">
        <v>2.41</v>
      </c>
      <c r="J363">
        <v>7.23</v>
      </c>
      <c r="K363">
        <v>7.23</v>
      </c>
      <c r="L363">
        <v>7.23</v>
      </c>
      <c r="M363" s="6">
        <v>0.23529411764705882</v>
      </c>
      <c r="N363" s="6">
        <v>0.11764705882352941</v>
      </c>
      <c r="O363" s="6">
        <v>0.6470588235294118</v>
      </c>
      <c r="P363" s="10">
        <v>34</v>
      </c>
      <c r="Q363">
        <v>92.45</v>
      </c>
      <c r="R363">
        <v>9.25</v>
      </c>
      <c r="S363">
        <v>27.73</v>
      </c>
      <c r="T363">
        <v>27.73</v>
      </c>
      <c r="U363">
        <v>27.73</v>
      </c>
      <c r="V363" s="6">
        <v>0.375</v>
      </c>
      <c r="W363" s="6">
        <v>0.29166666666666669</v>
      </c>
      <c r="X363" s="6">
        <v>0.33333333333333331</v>
      </c>
      <c r="Y363" s="11">
        <f>VLOOKUP(G363,'[1]historico puntos 2022-2025'!$A$2:$G$19,7,0)</f>
        <v>133</v>
      </c>
      <c r="Z363" t="s">
        <v>40</v>
      </c>
      <c r="AA363">
        <f t="shared" si="17"/>
        <v>361</v>
      </c>
    </row>
    <row r="364" spans="1:27" hidden="1" x14ac:dyDescent="0.3">
      <c r="A364" t="str">
        <f t="shared" si="15"/>
        <v>2024-Xolos</v>
      </c>
      <c r="B364" t="str">
        <f t="shared" si="16"/>
        <v>2024-Puebla</v>
      </c>
      <c r="C364">
        <v>2024</v>
      </c>
      <c r="D364" t="s">
        <v>19</v>
      </c>
      <c r="E364" s="2">
        <v>3</v>
      </c>
      <c r="F364" s="2">
        <v>1</v>
      </c>
      <c r="G364" t="s">
        <v>1</v>
      </c>
      <c r="H364" t="s">
        <v>37</v>
      </c>
      <c r="I364" t="s">
        <v>37</v>
      </c>
      <c r="J364" t="s">
        <v>37</v>
      </c>
      <c r="K364" t="s">
        <v>37</v>
      </c>
      <c r="L364" t="s">
        <v>37</v>
      </c>
      <c r="M364" s="6">
        <v>0.55000000000000004</v>
      </c>
      <c r="N364" s="6">
        <v>0.15</v>
      </c>
      <c r="O364" s="6">
        <v>0.3</v>
      </c>
      <c r="P364" s="10">
        <v>49</v>
      </c>
      <c r="Q364">
        <v>24.1</v>
      </c>
      <c r="R364">
        <v>2.41</v>
      </c>
      <c r="S364">
        <v>7.23</v>
      </c>
      <c r="T364">
        <v>7.23</v>
      </c>
      <c r="U364">
        <v>7.23</v>
      </c>
      <c r="V364" s="6">
        <v>0.11764705882352941</v>
      </c>
      <c r="W364" s="6">
        <v>0.17647058823529413</v>
      </c>
      <c r="X364" s="6">
        <v>0.70588235294117652</v>
      </c>
      <c r="Y364" s="11">
        <f>VLOOKUP(G364,'[1]historico puntos 2022-2025'!$A$2:$G$19,7,0)</f>
        <v>34</v>
      </c>
      <c r="Z364" t="s">
        <v>38</v>
      </c>
      <c r="AA364">
        <f t="shared" si="17"/>
        <v>362</v>
      </c>
    </row>
    <row r="365" spans="1:27" hidden="1" x14ac:dyDescent="0.3">
      <c r="A365" t="str">
        <f t="shared" si="15"/>
        <v>2024-Puebla</v>
      </c>
      <c r="B365" t="str">
        <f t="shared" si="16"/>
        <v>2024-Cruz Azul</v>
      </c>
      <c r="C365">
        <v>2024</v>
      </c>
      <c r="D365" t="s">
        <v>1</v>
      </c>
      <c r="E365" s="2">
        <v>0</v>
      </c>
      <c r="F365" s="2">
        <v>1</v>
      </c>
      <c r="G365" t="s">
        <v>10</v>
      </c>
      <c r="H365">
        <v>24.1</v>
      </c>
      <c r="I365">
        <v>2.41</v>
      </c>
      <c r="J365">
        <v>7.23</v>
      </c>
      <c r="K365">
        <v>7.23</v>
      </c>
      <c r="L365">
        <v>7.23</v>
      </c>
      <c r="M365" s="6">
        <v>0.23529411764705882</v>
      </c>
      <c r="N365" s="6">
        <v>0.11764705882352941</v>
      </c>
      <c r="O365" s="6">
        <v>0.6470588235294118</v>
      </c>
      <c r="P365" s="10">
        <v>34</v>
      </c>
      <c r="Q365">
        <v>78.849999999999994</v>
      </c>
      <c r="R365">
        <v>7.89</v>
      </c>
      <c r="S365">
        <v>23.66</v>
      </c>
      <c r="T365">
        <v>23.66</v>
      </c>
      <c r="U365">
        <v>23.66</v>
      </c>
      <c r="V365" s="6">
        <v>0.52380952380952384</v>
      </c>
      <c r="W365" s="6">
        <v>0.23809523809523808</v>
      </c>
      <c r="X365" s="6">
        <v>0.23809523809523808</v>
      </c>
      <c r="Y365" s="11">
        <f>VLOOKUP(G365,'[1]historico puntos 2022-2025'!$A$2:$G$19,7,0)</f>
        <v>107</v>
      </c>
      <c r="Z365" t="s">
        <v>40</v>
      </c>
      <c r="AA365">
        <f t="shared" si="17"/>
        <v>363</v>
      </c>
    </row>
    <row r="366" spans="1:27" hidden="1" x14ac:dyDescent="0.3">
      <c r="A366" t="str">
        <f t="shared" si="15"/>
        <v>2024-Chivas</v>
      </c>
      <c r="B366" t="str">
        <f t="shared" si="16"/>
        <v>2024-Puebla</v>
      </c>
      <c r="C366">
        <v>2024</v>
      </c>
      <c r="D366" t="s">
        <v>21</v>
      </c>
      <c r="E366" s="2">
        <v>3</v>
      </c>
      <c r="F366" s="2">
        <v>2</v>
      </c>
      <c r="G366" t="s">
        <v>1</v>
      </c>
      <c r="H366">
        <v>70.2</v>
      </c>
      <c r="I366">
        <v>7.02</v>
      </c>
      <c r="J366">
        <v>21.06</v>
      </c>
      <c r="K366">
        <v>21.06</v>
      </c>
      <c r="L366">
        <v>21.06</v>
      </c>
      <c r="M366" s="6">
        <v>0.44444444444444442</v>
      </c>
      <c r="N366" s="6">
        <v>0.33333333333333331</v>
      </c>
      <c r="O366" s="6">
        <v>0.22222222222222221</v>
      </c>
      <c r="P366" s="10">
        <v>99</v>
      </c>
      <c r="Q366">
        <v>24.1</v>
      </c>
      <c r="R366">
        <v>2.41</v>
      </c>
      <c r="S366">
        <v>7.23</v>
      </c>
      <c r="T366">
        <v>7.23</v>
      </c>
      <c r="U366">
        <v>7.23</v>
      </c>
      <c r="V366" s="6">
        <v>0.11764705882352941</v>
      </c>
      <c r="W366" s="6">
        <v>0.17647058823529413</v>
      </c>
      <c r="X366" s="6">
        <v>0.70588235294117652</v>
      </c>
      <c r="Y366" s="11">
        <f>VLOOKUP(G366,'[1]historico puntos 2022-2025'!$A$2:$G$19,7,0)</f>
        <v>34</v>
      </c>
      <c r="Z366" t="s">
        <v>38</v>
      </c>
      <c r="AA366">
        <f t="shared" si="17"/>
        <v>364</v>
      </c>
    </row>
    <row r="367" spans="1:27" hidden="1" x14ac:dyDescent="0.3">
      <c r="A367" t="str">
        <f t="shared" si="15"/>
        <v>2024-Puebla</v>
      </c>
      <c r="B367" t="str">
        <f t="shared" si="16"/>
        <v>2024-Tigres</v>
      </c>
      <c r="C367">
        <v>2024</v>
      </c>
      <c r="D367" t="s">
        <v>1</v>
      </c>
      <c r="E367" s="2">
        <v>2</v>
      </c>
      <c r="F367" s="2">
        <v>3</v>
      </c>
      <c r="G367" t="s">
        <v>17</v>
      </c>
      <c r="H367">
        <v>24.1</v>
      </c>
      <c r="I367">
        <v>2.41</v>
      </c>
      <c r="J367">
        <v>7.23</v>
      </c>
      <c r="K367">
        <v>7.23</v>
      </c>
      <c r="L367">
        <v>7.23</v>
      </c>
      <c r="M367" s="6">
        <v>0.23529411764705882</v>
      </c>
      <c r="N367" s="6">
        <v>0.11764705882352941</v>
      </c>
      <c r="O367" s="6">
        <v>0.6470588235294118</v>
      </c>
      <c r="P367" s="10">
        <v>34</v>
      </c>
      <c r="Q367" t="s">
        <v>37</v>
      </c>
      <c r="R367" t="s">
        <v>37</v>
      </c>
      <c r="S367" t="s">
        <v>37</v>
      </c>
      <c r="T367" t="s">
        <v>37</v>
      </c>
      <c r="U367" t="s">
        <v>37</v>
      </c>
      <c r="V367" s="6">
        <v>0.3</v>
      </c>
      <c r="W367" s="6">
        <v>0.3</v>
      </c>
      <c r="X367" s="6">
        <v>0.4</v>
      </c>
      <c r="Y367" s="11">
        <f>VLOOKUP(G367,'[1]historico puntos 2022-2025'!$A$2:$G$19,7,0)</f>
        <v>107</v>
      </c>
      <c r="Z367" t="s">
        <v>40</v>
      </c>
      <c r="AA367">
        <f t="shared" si="17"/>
        <v>365</v>
      </c>
    </row>
    <row r="368" spans="1:27" hidden="1" x14ac:dyDescent="0.3">
      <c r="A368" t="str">
        <f t="shared" si="15"/>
        <v>2024-Juarez</v>
      </c>
      <c r="B368" t="str">
        <f t="shared" si="16"/>
        <v>2024-Puebla</v>
      </c>
      <c r="C368">
        <v>2024</v>
      </c>
      <c r="D368" t="s">
        <v>18</v>
      </c>
      <c r="E368" s="2">
        <v>4</v>
      </c>
      <c r="F368" s="2">
        <v>3</v>
      </c>
      <c r="G368" t="s">
        <v>1</v>
      </c>
      <c r="H368" t="s">
        <v>37</v>
      </c>
      <c r="I368" t="s">
        <v>37</v>
      </c>
      <c r="J368" t="s">
        <v>37</v>
      </c>
      <c r="K368" t="s">
        <v>37</v>
      </c>
      <c r="L368" t="s">
        <v>37</v>
      </c>
      <c r="M368" s="6">
        <v>0.27777777777777779</v>
      </c>
      <c r="N368" s="6">
        <v>0.33333333333333331</v>
      </c>
      <c r="O368" s="6">
        <v>0.3888888888888889</v>
      </c>
      <c r="P368" s="10">
        <v>55</v>
      </c>
      <c r="Q368">
        <v>24.1</v>
      </c>
      <c r="R368">
        <v>2.41</v>
      </c>
      <c r="S368">
        <v>7.23</v>
      </c>
      <c r="T368">
        <v>7.23</v>
      </c>
      <c r="U368">
        <v>7.23</v>
      </c>
      <c r="V368" s="6">
        <v>0.11764705882352941</v>
      </c>
      <c r="W368" s="6">
        <v>0.17647058823529413</v>
      </c>
      <c r="X368" s="6">
        <v>0.70588235294117652</v>
      </c>
      <c r="Y368" s="11">
        <f>VLOOKUP(G368,'[1]historico puntos 2022-2025'!$A$2:$G$19,7,0)</f>
        <v>34</v>
      </c>
      <c r="Z368" t="s">
        <v>38</v>
      </c>
      <c r="AA368">
        <f t="shared" si="17"/>
        <v>366</v>
      </c>
    </row>
    <row r="369" spans="1:27" hidden="1" x14ac:dyDescent="0.3">
      <c r="A369" t="str">
        <f t="shared" si="15"/>
        <v>2024-León</v>
      </c>
      <c r="B369" t="str">
        <f t="shared" si="16"/>
        <v>2024-Puebla</v>
      </c>
      <c r="C369">
        <v>2024</v>
      </c>
      <c r="D369" t="s">
        <v>36</v>
      </c>
      <c r="E369" s="2">
        <v>2</v>
      </c>
      <c r="F369" s="2">
        <v>1</v>
      </c>
      <c r="G369" t="s">
        <v>1</v>
      </c>
      <c r="H369">
        <v>29.55</v>
      </c>
      <c r="I369">
        <v>2.96</v>
      </c>
      <c r="J369">
        <v>8.8699999999999992</v>
      </c>
      <c r="K369">
        <v>8.8699999999999992</v>
      </c>
      <c r="L369">
        <v>8.8699999999999992</v>
      </c>
      <c r="M369" s="6">
        <v>0.3888888888888889</v>
      </c>
      <c r="N369" s="6">
        <v>0.3888888888888889</v>
      </c>
      <c r="O369" s="6">
        <v>0.22222222222222221</v>
      </c>
      <c r="P369" s="10">
        <v>87</v>
      </c>
      <c r="Q369">
        <v>24.1</v>
      </c>
      <c r="R369">
        <v>2.41</v>
      </c>
      <c r="S369">
        <v>7.23</v>
      </c>
      <c r="T369">
        <v>7.23</v>
      </c>
      <c r="U369">
        <v>7.23</v>
      </c>
      <c r="V369" s="6">
        <v>0.11764705882352941</v>
      </c>
      <c r="W369" s="6">
        <v>0.17647058823529413</v>
      </c>
      <c r="X369" s="6">
        <v>0.70588235294117652</v>
      </c>
      <c r="Y369" s="11">
        <f>VLOOKUP(G369,'[1]historico puntos 2022-2025'!$A$2:$G$19,7,0)</f>
        <v>34</v>
      </c>
      <c r="Z369" t="s">
        <v>38</v>
      </c>
      <c r="AA369">
        <f t="shared" si="17"/>
        <v>367</v>
      </c>
    </row>
    <row r="370" spans="1:27" hidden="1" x14ac:dyDescent="0.3">
      <c r="A370" t="str">
        <f t="shared" si="15"/>
        <v>2024-Puebla</v>
      </c>
      <c r="B370" t="str">
        <f t="shared" si="16"/>
        <v>2024-Atlas</v>
      </c>
      <c r="C370">
        <v>2024</v>
      </c>
      <c r="D370" t="s">
        <v>1</v>
      </c>
      <c r="E370" s="2">
        <v>2</v>
      </c>
      <c r="F370" s="2">
        <v>2</v>
      </c>
      <c r="G370" t="s">
        <v>5</v>
      </c>
      <c r="H370">
        <v>24.1</v>
      </c>
      <c r="I370">
        <v>2.41</v>
      </c>
      <c r="J370">
        <v>7.23</v>
      </c>
      <c r="K370">
        <v>7.23</v>
      </c>
      <c r="L370">
        <v>7.23</v>
      </c>
      <c r="M370" s="6">
        <v>0.23529411764705882</v>
      </c>
      <c r="N370" s="6">
        <v>0.11764705882352941</v>
      </c>
      <c r="O370" s="6">
        <v>0.6470588235294118</v>
      </c>
      <c r="P370" s="10">
        <v>34</v>
      </c>
      <c r="Q370">
        <v>28.95</v>
      </c>
      <c r="R370">
        <v>2.9</v>
      </c>
      <c r="S370">
        <v>8.68</v>
      </c>
      <c r="T370">
        <v>8.68</v>
      </c>
      <c r="U370">
        <v>8.68</v>
      </c>
      <c r="V370" s="6">
        <v>0.26315789473684209</v>
      </c>
      <c r="W370" s="6">
        <v>0.31578947368421051</v>
      </c>
      <c r="X370" s="6">
        <v>0.42105263157894735</v>
      </c>
      <c r="Y370" s="11">
        <f>VLOOKUP(G370,'[1]historico puntos 2022-2025'!$A$2:$G$19,7,0)</f>
        <v>60</v>
      </c>
      <c r="Z370" t="s">
        <v>39</v>
      </c>
      <c r="AA370">
        <f t="shared" si="17"/>
        <v>368</v>
      </c>
    </row>
    <row r="371" spans="1:27" hidden="1" x14ac:dyDescent="0.3">
      <c r="A371" t="str">
        <f t="shared" si="15"/>
        <v>2024-Atlético San Luis</v>
      </c>
      <c r="B371" t="str">
        <f t="shared" si="16"/>
        <v>2024-Puebla</v>
      </c>
      <c r="C371">
        <v>2024</v>
      </c>
      <c r="D371" t="s">
        <v>15</v>
      </c>
      <c r="E371" s="2">
        <v>4</v>
      </c>
      <c r="F371" s="2">
        <v>0</v>
      </c>
      <c r="G371" t="s">
        <v>1</v>
      </c>
      <c r="H371">
        <v>45.95</v>
      </c>
      <c r="I371">
        <v>4.5999999999999996</v>
      </c>
      <c r="J371">
        <v>13.84</v>
      </c>
      <c r="K371">
        <v>13.84</v>
      </c>
      <c r="L371">
        <v>13.84</v>
      </c>
      <c r="M371" s="6">
        <v>0.68421052631578949</v>
      </c>
      <c r="N371" s="6">
        <v>5.2631578947368418E-2</v>
      </c>
      <c r="O371" s="6">
        <v>0.26315789473684209</v>
      </c>
      <c r="P371" s="10">
        <v>59</v>
      </c>
      <c r="Q371">
        <v>24.1</v>
      </c>
      <c r="R371">
        <v>2.41</v>
      </c>
      <c r="S371">
        <v>7.23</v>
      </c>
      <c r="T371">
        <v>7.23</v>
      </c>
      <c r="U371">
        <v>7.23</v>
      </c>
      <c r="V371" s="6">
        <v>0.11764705882352941</v>
      </c>
      <c r="W371" s="6">
        <v>0.17647058823529413</v>
      </c>
      <c r="X371" s="6">
        <v>0.70588235294117652</v>
      </c>
      <c r="Y371" s="11">
        <f>VLOOKUP(G371,'[1]historico puntos 2022-2025'!$A$2:$G$19,7,0)</f>
        <v>34</v>
      </c>
      <c r="Z371" t="s">
        <v>38</v>
      </c>
      <c r="AA371">
        <f t="shared" si="17"/>
        <v>369</v>
      </c>
    </row>
    <row r="372" spans="1:27" hidden="1" x14ac:dyDescent="0.3">
      <c r="A372" t="str">
        <f t="shared" si="15"/>
        <v>2024-Puebla</v>
      </c>
      <c r="B372" t="str">
        <f t="shared" si="16"/>
        <v>2024-Querétaro</v>
      </c>
      <c r="C372">
        <v>2024</v>
      </c>
      <c r="D372" t="s">
        <v>1</v>
      </c>
      <c r="E372" s="2">
        <v>0</v>
      </c>
      <c r="F372" s="2">
        <v>2</v>
      </c>
      <c r="G372" t="s">
        <v>22</v>
      </c>
      <c r="H372">
        <v>24.1</v>
      </c>
      <c r="I372">
        <v>2.41</v>
      </c>
      <c r="J372">
        <v>7.23</v>
      </c>
      <c r="K372">
        <v>7.23</v>
      </c>
      <c r="L372">
        <v>7.23</v>
      </c>
      <c r="M372" s="6">
        <v>0.23529411764705882</v>
      </c>
      <c r="N372" s="6">
        <v>0.11764705882352941</v>
      </c>
      <c r="O372" s="6">
        <v>0.6470588235294118</v>
      </c>
      <c r="P372" s="10">
        <v>34</v>
      </c>
      <c r="Q372" t="s">
        <v>37</v>
      </c>
      <c r="R372" t="s">
        <v>37</v>
      </c>
      <c r="S372" t="s">
        <v>37</v>
      </c>
      <c r="T372" t="s">
        <v>37</v>
      </c>
      <c r="U372" t="s">
        <v>37</v>
      </c>
      <c r="V372" s="6">
        <v>0.17647058823529413</v>
      </c>
      <c r="W372" s="6">
        <v>0.17647058823529413</v>
      </c>
      <c r="X372" s="6">
        <v>0.6470588235294118</v>
      </c>
      <c r="Y372" s="11">
        <f>VLOOKUP(G372,'[1]historico puntos 2022-2025'!$A$2:$G$19,7,0)</f>
        <v>64</v>
      </c>
      <c r="Z372" t="s">
        <v>40</v>
      </c>
      <c r="AA372">
        <f t="shared" si="17"/>
        <v>370</v>
      </c>
    </row>
    <row r="373" spans="1:27" hidden="1" x14ac:dyDescent="0.3">
      <c r="A373" t="str">
        <f t="shared" si="15"/>
        <v>2024-Puebla</v>
      </c>
      <c r="B373" t="str">
        <f t="shared" si="16"/>
        <v>2024-Pachuca</v>
      </c>
      <c r="C373">
        <v>2024</v>
      </c>
      <c r="D373" t="s">
        <v>1</v>
      </c>
      <c r="E373" s="2">
        <v>1</v>
      </c>
      <c r="F373" s="2">
        <v>4</v>
      </c>
      <c r="G373" t="s">
        <v>0</v>
      </c>
      <c r="H373">
        <v>24.1</v>
      </c>
      <c r="I373">
        <v>2.41</v>
      </c>
      <c r="J373">
        <v>7.23</v>
      </c>
      <c r="K373">
        <v>7.23</v>
      </c>
      <c r="L373">
        <v>7.23</v>
      </c>
      <c r="M373" s="6">
        <v>0.23529411764705882</v>
      </c>
      <c r="N373" s="6">
        <v>0.11764705882352941</v>
      </c>
      <c r="O373" s="6">
        <v>0.6470588235294118</v>
      </c>
      <c r="P373" s="10">
        <v>34</v>
      </c>
      <c r="Q373">
        <v>56.6</v>
      </c>
      <c r="R373">
        <v>5.66</v>
      </c>
      <c r="S373">
        <v>16.98</v>
      </c>
      <c r="T373">
        <v>16.98</v>
      </c>
      <c r="U373">
        <v>16.98</v>
      </c>
      <c r="V373" s="6">
        <v>0.26315789473684209</v>
      </c>
      <c r="W373" s="6">
        <v>0.15789473684210525</v>
      </c>
      <c r="X373" s="6">
        <v>0.57894736842105265</v>
      </c>
      <c r="Y373" s="11">
        <f>VLOOKUP(G373,'[1]historico puntos 2022-2025'!$A$2:$G$19,7,0)</f>
        <v>98</v>
      </c>
      <c r="Z373" t="s">
        <v>40</v>
      </c>
      <c r="AA373">
        <f t="shared" si="17"/>
        <v>371</v>
      </c>
    </row>
    <row r="374" spans="1:27" hidden="1" x14ac:dyDescent="0.3">
      <c r="A374" t="str">
        <f t="shared" si="15"/>
        <v>2024-Pumas</v>
      </c>
      <c r="B374" t="str">
        <f t="shared" si="16"/>
        <v>2024-Puebla</v>
      </c>
      <c r="C374">
        <v>2024</v>
      </c>
      <c r="D374" t="s">
        <v>16</v>
      </c>
      <c r="E374" s="2">
        <v>3</v>
      </c>
      <c r="F374" s="2">
        <v>0</v>
      </c>
      <c r="G374" t="s">
        <v>1</v>
      </c>
      <c r="H374">
        <v>47.6</v>
      </c>
      <c r="I374">
        <v>4.76</v>
      </c>
      <c r="J374">
        <v>14.28</v>
      </c>
      <c r="K374">
        <v>14.28</v>
      </c>
      <c r="L374">
        <v>14.28</v>
      </c>
      <c r="M374" s="6">
        <v>0.5</v>
      </c>
      <c r="N374" s="6">
        <v>0.16666666666666666</v>
      </c>
      <c r="O374" s="6">
        <v>0.33333333333333331</v>
      </c>
      <c r="P374" s="10">
        <v>75</v>
      </c>
      <c r="Q374">
        <v>24.1</v>
      </c>
      <c r="R374">
        <v>2.41</v>
      </c>
      <c r="S374">
        <v>7.23</v>
      </c>
      <c r="T374">
        <v>7.23</v>
      </c>
      <c r="U374">
        <v>7.23</v>
      </c>
      <c r="V374" s="6">
        <v>0.11764705882352941</v>
      </c>
      <c r="W374" s="6">
        <v>0.17647058823529413</v>
      </c>
      <c r="X374" s="6">
        <v>0.70588235294117652</v>
      </c>
      <c r="Y374" s="11">
        <f>VLOOKUP(G374,'[1]historico puntos 2022-2025'!$A$2:$G$19,7,0)</f>
        <v>34</v>
      </c>
      <c r="Z374" t="s">
        <v>38</v>
      </c>
      <c r="AA374">
        <f t="shared" si="17"/>
        <v>372</v>
      </c>
    </row>
    <row r="375" spans="1:27" hidden="1" x14ac:dyDescent="0.3">
      <c r="A375" t="str">
        <f t="shared" si="15"/>
        <v>2024-Santos Laguna</v>
      </c>
      <c r="B375" t="str">
        <f t="shared" si="16"/>
        <v>2024-Puebla</v>
      </c>
      <c r="C375">
        <v>2024</v>
      </c>
      <c r="D375" t="s">
        <v>11</v>
      </c>
      <c r="E375" s="2">
        <v>3</v>
      </c>
      <c r="F375" s="2">
        <v>0</v>
      </c>
      <c r="G375" t="s">
        <v>1</v>
      </c>
      <c r="H375">
        <v>35.9</v>
      </c>
      <c r="I375">
        <v>3.59</v>
      </c>
      <c r="J375">
        <v>10.77</v>
      </c>
      <c r="K375">
        <v>10.77</v>
      </c>
      <c r="L375">
        <v>10.77</v>
      </c>
      <c r="M375" s="6">
        <v>0.23529411764705882</v>
      </c>
      <c r="N375" s="6">
        <v>0.17647058823529413</v>
      </c>
      <c r="O375" s="6">
        <v>0.58823529411764708</v>
      </c>
      <c r="P375" s="10">
        <v>46</v>
      </c>
      <c r="Q375">
        <v>24.1</v>
      </c>
      <c r="R375">
        <v>2.41</v>
      </c>
      <c r="S375">
        <v>7.23</v>
      </c>
      <c r="T375">
        <v>7.23</v>
      </c>
      <c r="U375">
        <v>7.23</v>
      </c>
      <c r="V375" s="6">
        <v>0.11764705882352941</v>
      </c>
      <c r="W375" s="6">
        <v>0.17647058823529413</v>
      </c>
      <c r="X375" s="6">
        <v>0.70588235294117652</v>
      </c>
      <c r="Y375" s="11">
        <f>VLOOKUP(G375,'[1]historico puntos 2022-2025'!$A$2:$G$19,7,0)</f>
        <v>34</v>
      </c>
      <c r="Z375" t="s">
        <v>38</v>
      </c>
      <c r="AA375">
        <f t="shared" si="17"/>
        <v>373</v>
      </c>
    </row>
    <row r="376" spans="1:27" hidden="1" x14ac:dyDescent="0.3">
      <c r="A376" t="str">
        <f t="shared" si="15"/>
        <v>2024-Puebla</v>
      </c>
      <c r="B376" t="str">
        <f t="shared" si="16"/>
        <v>2024-Toluca</v>
      </c>
      <c r="C376">
        <v>2024</v>
      </c>
      <c r="D376" t="s">
        <v>1</v>
      </c>
      <c r="E376" s="2">
        <v>1</v>
      </c>
      <c r="F376" s="2">
        <v>1</v>
      </c>
      <c r="G376" t="s">
        <v>2</v>
      </c>
      <c r="H376">
        <v>24.1</v>
      </c>
      <c r="I376">
        <v>2.41</v>
      </c>
      <c r="J376">
        <v>7.23</v>
      </c>
      <c r="K376">
        <v>7.23</v>
      </c>
      <c r="L376">
        <v>7.23</v>
      </c>
      <c r="M376" s="6">
        <v>0.23529411764705882</v>
      </c>
      <c r="N376" s="6">
        <v>0.11764705882352941</v>
      </c>
      <c r="O376" s="6">
        <v>0.6470588235294118</v>
      </c>
      <c r="P376" s="10">
        <v>34</v>
      </c>
      <c r="Q376">
        <v>77.45</v>
      </c>
      <c r="R376">
        <v>7.75</v>
      </c>
      <c r="S376">
        <v>23.24</v>
      </c>
      <c r="T376">
        <v>23.24</v>
      </c>
      <c r="U376">
        <v>23.24</v>
      </c>
      <c r="V376" s="6">
        <v>0.38095238095238093</v>
      </c>
      <c r="W376" s="6">
        <v>0.33333333333333331</v>
      </c>
      <c r="X376" s="6">
        <v>0.2857142857142857</v>
      </c>
      <c r="Y376" s="11">
        <f>VLOOKUP(G376,'[1]historico puntos 2022-2025'!$A$2:$G$19,7,0)</f>
        <v>118</v>
      </c>
      <c r="Z376" t="s">
        <v>39</v>
      </c>
      <c r="AA376">
        <f t="shared" si="17"/>
        <v>374</v>
      </c>
    </row>
    <row r="377" spans="1:27" hidden="1" x14ac:dyDescent="0.3">
      <c r="A377" t="str">
        <f t="shared" si="15"/>
        <v>2024-Puebla</v>
      </c>
      <c r="B377" t="str">
        <f t="shared" si="16"/>
        <v>2024-Necaxa</v>
      </c>
      <c r="C377">
        <v>2024</v>
      </c>
      <c r="D377" t="s">
        <v>1</v>
      </c>
      <c r="E377" s="2">
        <v>1</v>
      </c>
      <c r="F377" s="2">
        <v>2</v>
      </c>
      <c r="G377" t="s">
        <v>4</v>
      </c>
      <c r="H377">
        <v>24.1</v>
      </c>
      <c r="I377">
        <v>2.41</v>
      </c>
      <c r="J377">
        <v>7.23</v>
      </c>
      <c r="K377">
        <v>7.23</v>
      </c>
      <c r="L377">
        <v>7.23</v>
      </c>
      <c r="M377" s="6">
        <v>0.23529411764705882</v>
      </c>
      <c r="N377" s="6">
        <v>0.11764705882352941</v>
      </c>
      <c r="O377" s="6">
        <v>0.6470588235294118</v>
      </c>
      <c r="P377" s="10">
        <v>34</v>
      </c>
      <c r="Q377">
        <v>38.5</v>
      </c>
      <c r="R377">
        <v>3.85</v>
      </c>
      <c r="S377">
        <v>11.55</v>
      </c>
      <c r="T377">
        <v>11.55</v>
      </c>
      <c r="U377">
        <v>11.55</v>
      </c>
      <c r="V377" s="6">
        <v>0.27777777777777779</v>
      </c>
      <c r="W377" s="6">
        <v>0.27777777777777779</v>
      </c>
      <c r="X377" s="6">
        <v>0.44444444444444442</v>
      </c>
      <c r="Y377" s="11">
        <f>VLOOKUP(G377,'[1]historico puntos 2022-2025'!$A$2:$G$19,7,0)</f>
        <v>77</v>
      </c>
      <c r="Z377" t="s">
        <v>40</v>
      </c>
      <c r="AA377">
        <f t="shared" si="17"/>
        <v>375</v>
      </c>
    </row>
    <row r="378" spans="1:27" hidden="1" x14ac:dyDescent="0.3">
      <c r="A378" t="str">
        <f t="shared" si="15"/>
        <v>2024-Monterrey</v>
      </c>
      <c r="B378" t="str">
        <f t="shared" si="16"/>
        <v>2024-Puebla</v>
      </c>
      <c r="C378">
        <v>2024</v>
      </c>
      <c r="D378" t="s">
        <v>3</v>
      </c>
      <c r="E378" s="2">
        <v>2</v>
      </c>
      <c r="F378" s="2">
        <v>0</v>
      </c>
      <c r="G378" t="s">
        <v>1</v>
      </c>
      <c r="H378">
        <v>88.6</v>
      </c>
      <c r="I378">
        <v>8.86</v>
      </c>
      <c r="J378">
        <v>26.58</v>
      </c>
      <c r="K378">
        <v>26.58</v>
      </c>
      <c r="L378">
        <v>26.58</v>
      </c>
      <c r="M378" s="6">
        <v>0.60869565217391308</v>
      </c>
      <c r="N378" s="6">
        <v>0.17391304347826086</v>
      </c>
      <c r="O378" s="6">
        <v>0.21739130434782608</v>
      </c>
      <c r="P378" s="10">
        <v>118</v>
      </c>
      <c r="Q378">
        <v>24.1</v>
      </c>
      <c r="R378">
        <v>2.41</v>
      </c>
      <c r="S378">
        <v>7.23</v>
      </c>
      <c r="T378">
        <v>7.23</v>
      </c>
      <c r="U378">
        <v>7.23</v>
      </c>
      <c r="V378" s="6">
        <v>0.11764705882352941</v>
      </c>
      <c r="W378" s="6">
        <v>0.17647058823529413</v>
      </c>
      <c r="X378" s="6">
        <v>0.70588235294117652</v>
      </c>
      <c r="Y378" s="11">
        <f>VLOOKUP(G378,'[1]historico puntos 2022-2025'!$A$2:$G$19,7,0)</f>
        <v>34</v>
      </c>
      <c r="Z378" t="s">
        <v>38</v>
      </c>
      <c r="AA378">
        <f t="shared" si="17"/>
        <v>376</v>
      </c>
    </row>
    <row r="379" spans="1:27" x14ac:dyDescent="0.3">
      <c r="A379" t="str">
        <f t="shared" si="15"/>
        <v>2023-Tigres</v>
      </c>
      <c r="B379" t="str">
        <f t="shared" si="16"/>
        <v>2023-Puebla</v>
      </c>
      <c r="C379">
        <v>2023</v>
      </c>
      <c r="D379" t="s">
        <v>17</v>
      </c>
      <c r="E379" s="2">
        <v>3</v>
      </c>
      <c r="F379" s="2">
        <v>0</v>
      </c>
      <c r="G379" t="s">
        <v>1</v>
      </c>
      <c r="H379">
        <v>67.599999999999994</v>
      </c>
      <c r="I379">
        <v>6.76</v>
      </c>
      <c r="J379">
        <v>20.28</v>
      </c>
      <c r="K379">
        <v>20.28</v>
      </c>
      <c r="L379">
        <v>20.28</v>
      </c>
      <c r="M379" s="6">
        <v>0.7</v>
      </c>
      <c r="N379" s="6">
        <v>0.25</v>
      </c>
      <c r="O379" s="6">
        <v>0.05</v>
      </c>
      <c r="P379" s="10">
        <v>107</v>
      </c>
      <c r="Q379">
        <v>26.7</v>
      </c>
      <c r="R379">
        <v>2.67</v>
      </c>
      <c r="S379">
        <v>8.01</v>
      </c>
      <c r="T379">
        <v>8.01</v>
      </c>
      <c r="U379">
        <v>8.01</v>
      </c>
      <c r="V379" s="6">
        <v>0.11764705882352941</v>
      </c>
      <c r="W379" s="6">
        <v>0.17647058823529413</v>
      </c>
      <c r="X379" s="6">
        <v>0.70588235294117652</v>
      </c>
      <c r="Y379" s="11">
        <f>VLOOKUP(G379,'[1]historico puntos 2022-2025'!$A$2:$G$19,7,0)</f>
        <v>34</v>
      </c>
      <c r="Z379" t="s">
        <v>38</v>
      </c>
      <c r="AA379">
        <f t="shared" si="17"/>
        <v>377</v>
      </c>
    </row>
    <row r="380" spans="1:27" hidden="1" x14ac:dyDescent="0.3">
      <c r="A380" t="str">
        <f t="shared" si="15"/>
        <v>2023-Puebla</v>
      </c>
      <c r="B380" t="str">
        <f t="shared" si="16"/>
        <v>2023-Tigres</v>
      </c>
      <c r="C380">
        <v>2023</v>
      </c>
      <c r="D380" t="s">
        <v>1</v>
      </c>
      <c r="E380" s="2">
        <v>2</v>
      </c>
      <c r="F380" s="2">
        <v>2</v>
      </c>
      <c r="G380" t="s">
        <v>17</v>
      </c>
      <c r="H380">
        <v>26.7</v>
      </c>
      <c r="I380">
        <v>2.67</v>
      </c>
      <c r="J380">
        <v>8.01</v>
      </c>
      <c r="K380">
        <v>8.01</v>
      </c>
      <c r="L380">
        <v>8.01</v>
      </c>
      <c r="M380" s="6">
        <v>0.23529411764705882</v>
      </c>
      <c r="N380" s="6">
        <v>0.11764705882352941</v>
      </c>
      <c r="O380" s="6">
        <v>0.6470588235294118</v>
      </c>
      <c r="P380" s="10">
        <v>34</v>
      </c>
      <c r="Q380" t="s">
        <v>37</v>
      </c>
      <c r="R380" t="s">
        <v>37</v>
      </c>
      <c r="S380" t="s">
        <v>37</v>
      </c>
      <c r="T380" t="s">
        <v>37</v>
      </c>
      <c r="U380" t="s">
        <v>37</v>
      </c>
      <c r="V380" s="6">
        <v>0.3</v>
      </c>
      <c r="W380" s="6">
        <v>0.3</v>
      </c>
      <c r="X380" s="6">
        <v>0.4</v>
      </c>
      <c r="Y380" s="11">
        <f>VLOOKUP(G380,'[1]historico puntos 2022-2025'!$A$2:$G$19,7,0)</f>
        <v>107</v>
      </c>
      <c r="Z380" t="s">
        <v>39</v>
      </c>
      <c r="AA380">
        <f t="shared" si="17"/>
        <v>378</v>
      </c>
    </row>
    <row r="381" spans="1:27" hidden="1" x14ac:dyDescent="0.3">
      <c r="A381" t="str">
        <f t="shared" si="15"/>
        <v>2023-Cruz Azul</v>
      </c>
      <c r="B381" t="str">
        <f t="shared" si="16"/>
        <v>2023-Puebla</v>
      </c>
      <c r="C381">
        <v>2023</v>
      </c>
      <c r="D381" t="s">
        <v>10</v>
      </c>
      <c r="E381" s="2">
        <v>1</v>
      </c>
      <c r="F381" s="2">
        <v>2</v>
      </c>
      <c r="G381" t="s">
        <v>1</v>
      </c>
      <c r="H381">
        <v>72.2</v>
      </c>
      <c r="I381">
        <v>7.22</v>
      </c>
      <c r="J381">
        <v>21.66</v>
      </c>
      <c r="K381">
        <v>21.66</v>
      </c>
      <c r="L381">
        <v>21.66</v>
      </c>
      <c r="M381" s="6">
        <v>0.7142857142857143</v>
      </c>
      <c r="N381" s="6">
        <v>0.23809523809523808</v>
      </c>
      <c r="O381" s="6">
        <v>4.7619047619047616E-2</v>
      </c>
      <c r="P381" s="10">
        <v>107</v>
      </c>
      <c r="Q381">
        <v>26.7</v>
      </c>
      <c r="R381">
        <v>2.67</v>
      </c>
      <c r="S381">
        <v>8.01</v>
      </c>
      <c r="T381">
        <v>8.01</v>
      </c>
      <c r="U381">
        <v>8.01</v>
      </c>
      <c r="V381" s="6">
        <v>0.11764705882352941</v>
      </c>
      <c r="W381" s="6">
        <v>0.17647058823529413</v>
      </c>
      <c r="X381" s="6">
        <v>0.70588235294117652</v>
      </c>
      <c r="Y381" s="11">
        <f>VLOOKUP(G381,'[1]historico puntos 2022-2025'!$A$2:$G$19,7,0)</f>
        <v>34</v>
      </c>
      <c r="Z381" t="s">
        <v>40</v>
      </c>
      <c r="AA381">
        <f t="shared" si="17"/>
        <v>379</v>
      </c>
    </row>
    <row r="382" spans="1:27" hidden="1" x14ac:dyDescent="0.3">
      <c r="A382" t="str">
        <f t="shared" si="15"/>
        <v>2023-Puebla</v>
      </c>
      <c r="B382" t="str">
        <f t="shared" si="16"/>
        <v>2023-León</v>
      </c>
      <c r="C382">
        <v>2023</v>
      </c>
      <c r="D382" t="s">
        <v>1</v>
      </c>
      <c r="E382" s="2">
        <v>5</v>
      </c>
      <c r="F382" s="2">
        <v>4</v>
      </c>
      <c r="G382" t="s">
        <v>36</v>
      </c>
      <c r="H382">
        <v>26.7</v>
      </c>
      <c r="I382">
        <v>2.67</v>
      </c>
      <c r="J382">
        <v>8.01</v>
      </c>
      <c r="K382">
        <v>8.01</v>
      </c>
      <c r="L382">
        <v>8.01</v>
      </c>
      <c r="M382" s="6">
        <v>0.23529411764705882</v>
      </c>
      <c r="N382" s="6">
        <v>0.11764705882352941</v>
      </c>
      <c r="O382" s="6">
        <v>0.6470588235294118</v>
      </c>
      <c r="P382" s="10">
        <v>34</v>
      </c>
      <c r="Q382">
        <v>41.5</v>
      </c>
      <c r="R382">
        <v>4.1500000000000004</v>
      </c>
      <c r="S382">
        <v>12.45</v>
      </c>
      <c r="T382">
        <v>12.45</v>
      </c>
      <c r="U382">
        <v>12.45</v>
      </c>
      <c r="V382" s="6">
        <v>0.27777777777777779</v>
      </c>
      <c r="W382" s="6">
        <v>0.27777777777777779</v>
      </c>
      <c r="X382" s="6">
        <v>0.44444444444444442</v>
      </c>
      <c r="Y382" s="11">
        <f>VLOOKUP(G382,'[1]historico puntos 2022-2025'!$A$2:$G$19,7,0)</f>
        <v>87</v>
      </c>
      <c r="Z382" t="s">
        <v>38</v>
      </c>
      <c r="AA382">
        <f t="shared" si="17"/>
        <v>380</v>
      </c>
    </row>
    <row r="383" spans="1:27" hidden="1" x14ac:dyDescent="0.3">
      <c r="A383" t="str">
        <f t="shared" si="15"/>
        <v>2023-Toluca</v>
      </c>
      <c r="B383" t="str">
        <f t="shared" si="16"/>
        <v>2023-Puebla</v>
      </c>
      <c r="C383">
        <v>2023</v>
      </c>
      <c r="D383" t="s">
        <v>2</v>
      </c>
      <c r="E383" s="2">
        <v>0</v>
      </c>
      <c r="F383" s="2">
        <v>1</v>
      </c>
      <c r="G383" t="s">
        <v>1</v>
      </c>
      <c r="H383">
        <v>66.2</v>
      </c>
      <c r="I383">
        <v>6.62</v>
      </c>
      <c r="J383">
        <v>19.86</v>
      </c>
      <c r="K383">
        <v>19.86</v>
      </c>
      <c r="L383">
        <v>19.86</v>
      </c>
      <c r="M383" s="6">
        <v>0.76190476190476186</v>
      </c>
      <c r="N383" s="6">
        <v>0.19047619047619047</v>
      </c>
      <c r="O383" s="6">
        <v>4.7619047619047616E-2</v>
      </c>
      <c r="P383" s="10">
        <v>118</v>
      </c>
      <c r="Q383">
        <v>26.7</v>
      </c>
      <c r="R383">
        <v>2.67</v>
      </c>
      <c r="S383">
        <v>8.01</v>
      </c>
      <c r="T383">
        <v>8.01</v>
      </c>
      <c r="U383">
        <v>8.01</v>
      </c>
      <c r="V383" s="6">
        <v>0.11764705882352941</v>
      </c>
      <c r="W383" s="6">
        <v>0.17647058823529413</v>
      </c>
      <c r="X383" s="6">
        <v>0.70588235294117652</v>
      </c>
      <c r="Y383" s="11">
        <f>VLOOKUP(G383,'[1]historico puntos 2022-2025'!$A$2:$G$19,7,0)</f>
        <v>34</v>
      </c>
      <c r="Z383" t="s">
        <v>40</v>
      </c>
      <c r="AA383">
        <f t="shared" si="17"/>
        <v>381</v>
      </c>
    </row>
    <row r="384" spans="1:27" hidden="1" x14ac:dyDescent="0.3">
      <c r="A384" t="str">
        <f t="shared" si="15"/>
        <v>2023-Pachuca</v>
      </c>
      <c r="B384" t="str">
        <f t="shared" si="16"/>
        <v>2023-Puebla</v>
      </c>
      <c r="C384">
        <v>2023</v>
      </c>
      <c r="D384" t="s">
        <v>0</v>
      </c>
      <c r="E384" s="2">
        <v>1</v>
      </c>
      <c r="F384" s="2">
        <v>1</v>
      </c>
      <c r="G384" t="s">
        <v>1</v>
      </c>
      <c r="H384">
        <v>51.25</v>
      </c>
      <c r="I384">
        <v>5.13</v>
      </c>
      <c r="J384">
        <v>15.38</v>
      </c>
      <c r="K384">
        <v>15.38</v>
      </c>
      <c r="L384">
        <v>15.38</v>
      </c>
      <c r="M384" s="6">
        <v>0.3888888888888889</v>
      </c>
      <c r="N384" s="6">
        <v>0.33333333333333331</v>
      </c>
      <c r="O384" s="6">
        <v>0.27777777777777779</v>
      </c>
      <c r="P384" s="10">
        <v>98</v>
      </c>
      <c r="Q384">
        <v>26.7</v>
      </c>
      <c r="R384">
        <v>2.67</v>
      </c>
      <c r="S384">
        <v>8.01</v>
      </c>
      <c r="T384">
        <v>8.01</v>
      </c>
      <c r="U384">
        <v>8.01</v>
      </c>
      <c r="V384" s="6">
        <v>0.11764705882352941</v>
      </c>
      <c r="W384" s="6">
        <v>0.17647058823529413</v>
      </c>
      <c r="X384" s="6">
        <v>0.70588235294117652</v>
      </c>
      <c r="Y384" s="11">
        <f>VLOOKUP(G384,'[1]historico puntos 2022-2025'!$A$2:$G$19,7,0)</f>
        <v>34</v>
      </c>
      <c r="Z384" t="s">
        <v>39</v>
      </c>
      <c r="AA384">
        <f t="shared" si="17"/>
        <v>382</v>
      </c>
    </row>
    <row r="385" spans="1:27" hidden="1" x14ac:dyDescent="0.3">
      <c r="A385" t="str">
        <f t="shared" si="15"/>
        <v>2023-Puebla</v>
      </c>
      <c r="B385" t="str">
        <f t="shared" si="16"/>
        <v>2023-Chivas</v>
      </c>
      <c r="C385">
        <v>2023</v>
      </c>
      <c r="D385" t="s">
        <v>1</v>
      </c>
      <c r="E385" s="2">
        <v>0</v>
      </c>
      <c r="F385" s="2">
        <v>2</v>
      </c>
      <c r="G385" t="s">
        <v>21</v>
      </c>
      <c r="H385">
        <v>26.7</v>
      </c>
      <c r="I385">
        <v>2.67</v>
      </c>
      <c r="J385">
        <v>8.01</v>
      </c>
      <c r="K385">
        <v>8.01</v>
      </c>
      <c r="L385">
        <v>8.01</v>
      </c>
      <c r="M385" s="6">
        <v>0.23529411764705882</v>
      </c>
      <c r="N385" s="6">
        <v>0.11764705882352941</v>
      </c>
      <c r="O385" s="6">
        <v>0.6470588235294118</v>
      </c>
      <c r="P385" s="10">
        <v>34</v>
      </c>
      <c r="Q385" t="s">
        <v>37</v>
      </c>
      <c r="R385" t="s">
        <v>37</v>
      </c>
      <c r="S385" t="s">
        <v>37</v>
      </c>
      <c r="T385" t="s">
        <v>37</v>
      </c>
      <c r="U385" t="s">
        <v>37</v>
      </c>
      <c r="V385" s="6">
        <v>0.23529411764705882</v>
      </c>
      <c r="W385" s="6">
        <v>0.23529411764705882</v>
      </c>
      <c r="X385" s="6">
        <v>0.52941176470588236</v>
      </c>
      <c r="Y385" s="11">
        <f>VLOOKUP(G385,'[1]historico puntos 2022-2025'!$A$2:$G$19,7,0)</f>
        <v>99</v>
      </c>
      <c r="Z385" t="s">
        <v>40</v>
      </c>
      <c r="AA385">
        <f t="shared" si="17"/>
        <v>383</v>
      </c>
    </row>
    <row r="386" spans="1:27" hidden="1" x14ac:dyDescent="0.3">
      <c r="A386" t="str">
        <f t="shared" si="15"/>
        <v>2023-Puebla</v>
      </c>
      <c r="B386" t="str">
        <f t="shared" si="16"/>
        <v>2023-Monterrey</v>
      </c>
      <c r="C386">
        <v>2023</v>
      </c>
      <c r="D386" t="s">
        <v>1</v>
      </c>
      <c r="E386" s="2">
        <v>1</v>
      </c>
      <c r="F386" s="2">
        <v>1</v>
      </c>
      <c r="G386" t="s">
        <v>3</v>
      </c>
      <c r="H386">
        <v>26.7</v>
      </c>
      <c r="I386">
        <v>2.67</v>
      </c>
      <c r="J386">
        <v>8.01</v>
      </c>
      <c r="K386">
        <v>8.01</v>
      </c>
      <c r="L386">
        <v>8.01</v>
      </c>
      <c r="M386" s="6">
        <v>0.23529411764705882</v>
      </c>
      <c r="N386" s="6">
        <v>0.11764705882352941</v>
      </c>
      <c r="O386" s="6">
        <v>0.6470588235294118</v>
      </c>
      <c r="P386" s="10">
        <v>34</v>
      </c>
      <c r="Q386">
        <v>88.1</v>
      </c>
      <c r="R386">
        <v>8.81</v>
      </c>
      <c r="S386">
        <v>26.43</v>
      </c>
      <c r="T386">
        <v>26.43</v>
      </c>
      <c r="U386">
        <v>26.43</v>
      </c>
      <c r="V386" s="6">
        <v>0.38095238095238093</v>
      </c>
      <c r="W386" s="6">
        <v>0.23809523809523808</v>
      </c>
      <c r="X386" s="6">
        <v>0.38095238095238093</v>
      </c>
      <c r="Y386" s="11">
        <f>VLOOKUP(G386,'[1]historico puntos 2022-2025'!$A$2:$G$19,7,0)</f>
        <v>118</v>
      </c>
      <c r="Z386" t="s">
        <v>39</v>
      </c>
      <c r="AA386">
        <f t="shared" si="17"/>
        <v>384</v>
      </c>
    </row>
    <row r="387" spans="1:27" hidden="1" x14ac:dyDescent="0.3">
      <c r="A387" t="str">
        <f t="shared" ref="A387:A450" si="18">C387&amp;"-"&amp;D387</f>
        <v>2023-Atlas</v>
      </c>
      <c r="B387" t="str">
        <f t="shared" ref="B387:B450" si="19">C387&amp;"-"&amp;G387</f>
        <v>2023-Puebla</v>
      </c>
      <c r="C387">
        <v>2023</v>
      </c>
      <c r="D387" t="s">
        <v>5</v>
      </c>
      <c r="E387" s="2">
        <v>2</v>
      </c>
      <c r="F387" s="2">
        <v>3</v>
      </c>
      <c r="G387" t="s">
        <v>1</v>
      </c>
      <c r="H387">
        <v>30.7</v>
      </c>
      <c r="I387">
        <v>3.07</v>
      </c>
      <c r="J387">
        <v>9.2100000000000009</v>
      </c>
      <c r="K387">
        <v>9.2100000000000009</v>
      </c>
      <c r="L387">
        <v>9.2100000000000009</v>
      </c>
      <c r="M387" s="6" t="s">
        <v>37</v>
      </c>
      <c r="N387" s="6" t="s">
        <v>37</v>
      </c>
      <c r="O387" s="6" t="s">
        <v>37</v>
      </c>
      <c r="P387" s="10">
        <v>60</v>
      </c>
      <c r="Q387">
        <v>26.7</v>
      </c>
      <c r="R387">
        <v>2.67</v>
      </c>
      <c r="S387">
        <v>8.01</v>
      </c>
      <c r="T387">
        <v>8.01</v>
      </c>
      <c r="U387">
        <v>8.01</v>
      </c>
      <c r="V387" s="6">
        <v>0.11764705882352941</v>
      </c>
      <c r="W387" s="6">
        <v>0.17647058823529413</v>
      </c>
      <c r="X387" s="6">
        <v>0.70588235294117652</v>
      </c>
      <c r="Y387" s="11">
        <f>VLOOKUP(G387,'[1]historico puntos 2022-2025'!$A$2:$G$19,7,0)</f>
        <v>34</v>
      </c>
      <c r="Z387" t="s">
        <v>40</v>
      </c>
      <c r="AA387">
        <f t="shared" si="17"/>
        <v>385</v>
      </c>
    </row>
    <row r="388" spans="1:27" hidden="1" x14ac:dyDescent="0.3">
      <c r="A388" t="str">
        <f t="shared" si="18"/>
        <v>2023-Puebla</v>
      </c>
      <c r="B388" t="str">
        <f t="shared" si="19"/>
        <v>2023-Pumas</v>
      </c>
      <c r="C388">
        <v>2023</v>
      </c>
      <c r="D388" t="s">
        <v>1</v>
      </c>
      <c r="E388" s="2">
        <v>0</v>
      </c>
      <c r="F388" s="2">
        <v>2</v>
      </c>
      <c r="G388" t="s">
        <v>16</v>
      </c>
      <c r="H388">
        <v>26.7</v>
      </c>
      <c r="I388">
        <v>2.67</v>
      </c>
      <c r="J388">
        <v>8.01</v>
      </c>
      <c r="K388">
        <v>8.01</v>
      </c>
      <c r="L388">
        <v>8.01</v>
      </c>
      <c r="M388" s="6">
        <v>0.23529411764705882</v>
      </c>
      <c r="N388" s="6">
        <v>0.11764705882352941</v>
      </c>
      <c r="O388" s="6">
        <v>0.6470588235294118</v>
      </c>
      <c r="P388" s="10">
        <v>34</v>
      </c>
      <c r="Q388" t="s">
        <v>37</v>
      </c>
      <c r="R388" t="s">
        <v>37</v>
      </c>
      <c r="S388" t="s">
        <v>37</v>
      </c>
      <c r="T388" t="s">
        <v>37</v>
      </c>
      <c r="U388" t="s">
        <v>37</v>
      </c>
      <c r="V388" s="6">
        <v>0.3</v>
      </c>
      <c r="W388" s="6">
        <v>0.25</v>
      </c>
      <c r="X388" s="6">
        <v>0.45</v>
      </c>
      <c r="Y388" s="11">
        <f>VLOOKUP(G388,'[1]historico puntos 2022-2025'!$A$2:$G$19,7,0)</f>
        <v>75</v>
      </c>
      <c r="Z388" t="s">
        <v>40</v>
      </c>
      <c r="AA388">
        <f t="shared" ref="AA388:AA451" si="20">AA387+1</f>
        <v>386</v>
      </c>
    </row>
    <row r="389" spans="1:27" hidden="1" x14ac:dyDescent="0.3">
      <c r="A389" t="str">
        <f t="shared" si="18"/>
        <v>2023-Puebla</v>
      </c>
      <c r="B389" t="str">
        <f t="shared" si="19"/>
        <v>2023-Juarez</v>
      </c>
      <c r="C389">
        <v>2023</v>
      </c>
      <c r="D389" t="s">
        <v>1</v>
      </c>
      <c r="E389" s="2">
        <v>1</v>
      </c>
      <c r="F389" s="2">
        <v>0</v>
      </c>
      <c r="G389" t="s">
        <v>18</v>
      </c>
      <c r="H389">
        <v>26.7</v>
      </c>
      <c r="I389">
        <v>2.67</v>
      </c>
      <c r="J389">
        <v>8.01</v>
      </c>
      <c r="K389">
        <v>8.01</v>
      </c>
      <c r="L389">
        <v>8.01</v>
      </c>
      <c r="M389" s="6">
        <v>0.23529411764705882</v>
      </c>
      <c r="N389" s="6">
        <v>0.11764705882352941</v>
      </c>
      <c r="O389" s="6">
        <v>0.6470588235294118</v>
      </c>
      <c r="P389" s="10">
        <v>34</v>
      </c>
      <c r="Q389" t="s">
        <v>37</v>
      </c>
      <c r="R389" t="s">
        <v>37</v>
      </c>
      <c r="S389" t="s">
        <v>37</v>
      </c>
      <c r="T389" t="s">
        <v>37</v>
      </c>
      <c r="U389" t="s">
        <v>37</v>
      </c>
      <c r="V389" s="6">
        <v>0.35294117647058826</v>
      </c>
      <c r="W389" s="6">
        <v>0.17647058823529413</v>
      </c>
      <c r="X389" s="6">
        <v>0.47058823529411764</v>
      </c>
      <c r="Y389" s="11">
        <f>VLOOKUP(G389,'[1]historico puntos 2022-2025'!$A$2:$G$19,7,0)</f>
        <v>55</v>
      </c>
      <c r="Z389" t="s">
        <v>38</v>
      </c>
      <c r="AA389">
        <f t="shared" si="20"/>
        <v>387</v>
      </c>
    </row>
    <row r="390" spans="1:27" hidden="1" x14ac:dyDescent="0.3">
      <c r="A390" t="str">
        <f t="shared" si="18"/>
        <v>2023-Puebla</v>
      </c>
      <c r="B390" t="str">
        <f t="shared" si="19"/>
        <v>2023-Atlético San Luis</v>
      </c>
      <c r="C390">
        <v>2023</v>
      </c>
      <c r="D390" t="s">
        <v>1</v>
      </c>
      <c r="E390" s="2">
        <v>1</v>
      </c>
      <c r="F390" s="2">
        <v>2</v>
      </c>
      <c r="G390" t="s">
        <v>15</v>
      </c>
      <c r="H390">
        <v>26.7</v>
      </c>
      <c r="I390">
        <v>2.67</v>
      </c>
      <c r="J390">
        <v>8.01</v>
      </c>
      <c r="K390">
        <v>8.01</v>
      </c>
      <c r="L390">
        <v>8.01</v>
      </c>
      <c r="M390" s="6">
        <v>0.23529411764705882</v>
      </c>
      <c r="N390" s="6">
        <v>0.11764705882352941</v>
      </c>
      <c r="O390" s="6">
        <v>0.6470588235294118</v>
      </c>
      <c r="P390" s="10">
        <v>34</v>
      </c>
      <c r="Q390">
        <v>35.85</v>
      </c>
      <c r="R390">
        <v>3.59</v>
      </c>
      <c r="S390">
        <v>10.77</v>
      </c>
      <c r="T390">
        <v>10.77</v>
      </c>
      <c r="U390">
        <v>10.77</v>
      </c>
      <c r="V390" s="6">
        <v>0.21052631578947367</v>
      </c>
      <c r="W390" s="6">
        <v>0.15789473684210525</v>
      </c>
      <c r="X390" s="6">
        <v>0.63157894736842102</v>
      </c>
      <c r="Y390" s="11">
        <f>VLOOKUP(G390,'[1]historico puntos 2022-2025'!$A$2:$G$19,7,0)</f>
        <v>59</v>
      </c>
      <c r="Z390" t="s">
        <v>40</v>
      </c>
      <c r="AA390">
        <f t="shared" si="20"/>
        <v>388</v>
      </c>
    </row>
    <row r="391" spans="1:27" hidden="1" x14ac:dyDescent="0.3">
      <c r="A391" t="str">
        <f t="shared" si="18"/>
        <v>2023-América</v>
      </c>
      <c r="B391" t="str">
        <f t="shared" si="19"/>
        <v>2023-Puebla</v>
      </c>
      <c r="C391">
        <v>2023</v>
      </c>
      <c r="D391" t="s">
        <v>14</v>
      </c>
      <c r="E391" s="2">
        <v>3</v>
      </c>
      <c r="F391" s="2">
        <v>0</v>
      </c>
      <c r="G391" t="s">
        <v>1</v>
      </c>
      <c r="H391">
        <v>84.2</v>
      </c>
      <c r="I391">
        <v>8.42</v>
      </c>
      <c r="J391">
        <v>25.26</v>
      </c>
      <c r="K391">
        <v>25.26</v>
      </c>
      <c r="L391">
        <v>25.26</v>
      </c>
      <c r="M391" s="6">
        <v>0.65217391304347827</v>
      </c>
      <c r="N391" s="6">
        <v>0.21739130434782608</v>
      </c>
      <c r="O391" s="6">
        <v>0.13043478260869565</v>
      </c>
      <c r="P391" s="10">
        <v>133</v>
      </c>
      <c r="Q391">
        <v>26.7</v>
      </c>
      <c r="R391">
        <v>2.67</v>
      </c>
      <c r="S391">
        <v>8.01</v>
      </c>
      <c r="T391">
        <v>8.01</v>
      </c>
      <c r="U391">
        <v>8.01</v>
      </c>
      <c r="V391" s="6">
        <v>0.11764705882352941</v>
      </c>
      <c r="W391" s="6">
        <v>0.17647058823529413</v>
      </c>
      <c r="X391" s="6">
        <v>0.70588235294117652</v>
      </c>
      <c r="Y391" s="11">
        <f>VLOOKUP(G391,'[1]historico puntos 2022-2025'!$A$2:$G$19,7,0)</f>
        <v>34</v>
      </c>
      <c r="Z391" t="s">
        <v>38</v>
      </c>
      <c r="AA391">
        <f t="shared" si="20"/>
        <v>389</v>
      </c>
    </row>
    <row r="392" spans="1:27" hidden="1" x14ac:dyDescent="0.3">
      <c r="A392" t="str">
        <f t="shared" si="18"/>
        <v>2023-Puebla</v>
      </c>
      <c r="B392" t="str">
        <f t="shared" si="19"/>
        <v>2023-Santos Laguna</v>
      </c>
      <c r="C392">
        <v>2023</v>
      </c>
      <c r="D392" t="s">
        <v>1</v>
      </c>
      <c r="E392" s="2">
        <v>2</v>
      </c>
      <c r="F392" s="2">
        <v>3</v>
      </c>
      <c r="G392" t="s">
        <v>11</v>
      </c>
      <c r="H392">
        <v>26.7</v>
      </c>
      <c r="I392">
        <v>2.67</v>
      </c>
      <c r="J392">
        <v>8.01</v>
      </c>
      <c r="K392">
        <v>8.01</v>
      </c>
      <c r="L392">
        <v>8.01</v>
      </c>
      <c r="M392" s="6">
        <v>0.23529411764705882</v>
      </c>
      <c r="N392" s="6">
        <v>0.11764705882352941</v>
      </c>
      <c r="O392" s="6">
        <v>0.6470588235294118</v>
      </c>
      <c r="P392" s="10">
        <v>34</v>
      </c>
      <c r="Q392" t="s">
        <v>37</v>
      </c>
      <c r="R392" t="s">
        <v>37</v>
      </c>
      <c r="S392" t="s">
        <v>37</v>
      </c>
      <c r="T392" t="s">
        <v>37</v>
      </c>
      <c r="U392" t="s">
        <v>37</v>
      </c>
      <c r="V392" s="6">
        <v>0</v>
      </c>
      <c r="W392" s="6">
        <v>0.11764705882352941</v>
      </c>
      <c r="X392" s="6">
        <v>0.88235294117647056</v>
      </c>
      <c r="Y392" s="11">
        <f>VLOOKUP(G392,'[1]historico puntos 2022-2025'!$A$2:$G$19,7,0)</f>
        <v>46</v>
      </c>
      <c r="Z392" t="s">
        <v>40</v>
      </c>
      <c r="AA392">
        <f t="shared" si="20"/>
        <v>390</v>
      </c>
    </row>
    <row r="393" spans="1:27" x14ac:dyDescent="0.3">
      <c r="A393" t="str">
        <f t="shared" si="18"/>
        <v>2023-Tigres</v>
      </c>
      <c r="B393" t="str">
        <f t="shared" si="19"/>
        <v>2023-Puebla</v>
      </c>
      <c r="C393">
        <v>2023</v>
      </c>
      <c r="D393" t="s">
        <v>17</v>
      </c>
      <c r="E393" s="2">
        <v>1</v>
      </c>
      <c r="F393" s="2">
        <v>1</v>
      </c>
      <c r="G393" t="s">
        <v>1</v>
      </c>
      <c r="H393">
        <v>67.599999999999994</v>
      </c>
      <c r="I393">
        <v>6.76</v>
      </c>
      <c r="J393">
        <v>20.28</v>
      </c>
      <c r="K393">
        <v>20.28</v>
      </c>
      <c r="L393">
        <v>20.28</v>
      </c>
      <c r="M393" s="6">
        <v>0.7</v>
      </c>
      <c r="N393" s="6">
        <v>0.25</v>
      </c>
      <c r="O393" s="6">
        <v>0.05</v>
      </c>
      <c r="P393" s="10">
        <v>107</v>
      </c>
      <c r="Q393">
        <v>26.7</v>
      </c>
      <c r="R393">
        <v>2.67</v>
      </c>
      <c r="S393">
        <v>8.01</v>
      </c>
      <c r="T393">
        <v>8.01</v>
      </c>
      <c r="U393">
        <v>8.01</v>
      </c>
      <c r="V393" s="6">
        <v>0.11764705882352941</v>
      </c>
      <c r="W393" s="6">
        <v>0.17647058823529413</v>
      </c>
      <c r="X393" s="6">
        <v>0.70588235294117652</v>
      </c>
      <c r="Y393" s="11">
        <f>VLOOKUP(G393,'[1]historico puntos 2022-2025'!$A$2:$G$19,7,0)</f>
        <v>34</v>
      </c>
      <c r="Z393" t="s">
        <v>39</v>
      </c>
      <c r="AA393">
        <f t="shared" si="20"/>
        <v>391</v>
      </c>
    </row>
    <row r="394" spans="1:27" hidden="1" x14ac:dyDescent="0.3">
      <c r="A394" t="str">
        <f t="shared" si="18"/>
        <v>2024-Cruz Azul</v>
      </c>
      <c r="B394" t="str">
        <f t="shared" si="19"/>
        <v>2024-Pumas</v>
      </c>
      <c r="C394">
        <v>2024</v>
      </c>
      <c r="D394" t="s">
        <v>10</v>
      </c>
      <c r="E394" s="2">
        <v>2</v>
      </c>
      <c r="F394" s="2">
        <v>2</v>
      </c>
      <c r="G394" t="s">
        <v>16</v>
      </c>
      <c r="H394">
        <v>78.849999999999994</v>
      </c>
      <c r="I394">
        <v>7.89</v>
      </c>
      <c r="J394">
        <v>23.66</v>
      </c>
      <c r="K394">
        <v>23.66</v>
      </c>
      <c r="L394">
        <v>23.66</v>
      </c>
      <c r="M394" s="6">
        <v>0.7142857142857143</v>
      </c>
      <c r="N394" s="6">
        <v>0.23809523809523808</v>
      </c>
      <c r="O394" s="6">
        <v>4.7619047619047616E-2</v>
      </c>
      <c r="P394" s="10">
        <v>107</v>
      </c>
      <c r="Q394">
        <v>47.6</v>
      </c>
      <c r="R394">
        <v>4.76</v>
      </c>
      <c r="S394">
        <v>14.28</v>
      </c>
      <c r="T394">
        <v>14.28</v>
      </c>
      <c r="U394">
        <v>14.28</v>
      </c>
      <c r="V394" s="6">
        <v>0.3</v>
      </c>
      <c r="W394" s="6">
        <v>0.25</v>
      </c>
      <c r="X394" s="6">
        <v>0.45</v>
      </c>
      <c r="Y394" s="11">
        <f>VLOOKUP(G394,'[1]historico puntos 2022-2025'!$A$2:$G$19,7,0)</f>
        <v>75</v>
      </c>
      <c r="Z394" t="s">
        <v>39</v>
      </c>
      <c r="AA394">
        <f t="shared" si="20"/>
        <v>392</v>
      </c>
    </row>
    <row r="395" spans="1:27" hidden="1" x14ac:dyDescent="0.3">
      <c r="A395" t="str">
        <f t="shared" si="18"/>
        <v>2024-Pumas</v>
      </c>
      <c r="B395" t="str">
        <f t="shared" si="19"/>
        <v>2024-Cruz Azul</v>
      </c>
      <c r="C395">
        <v>2024</v>
      </c>
      <c r="D395" t="s">
        <v>16</v>
      </c>
      <c r="E395" s="2">
        <v>0</v>
      </c>
      <c r="F395" s="2">
        <v>2</v>
      </c>
      <c r="G395" t="s">
        <v>10</v>
      </c>
      <c r="H395">
        <v>47.6</v>
      </c>
      <c r="I395">
        <v>4.76</v>
      </c>
      <c r="J395">
        <v>14.28</v>
      </c>
      <c r="K395">
        <v>14.28</v>
      </c>
      <c r="L395">
        <v>14.28</v>
      </c>
      <c r="M395" s="6">
        <v>0.5</v>
      </c>
      <c r="N395" s="6">
        <v>0.16666666666666666</v>
      </c>
      <c r="O395" s="6">
        <v>0.33333333333333331</v>
      </c>
      <c r="P395" s="10">
        <v>75</v>
      </c>
      <c r="Q395">
        <v>78.849999999999994</v>
      </c>
      <c r="R395">
        <v>7.89</v>
      </c>
      <c r="S395">
        <v>23.66</v>
      </c>
      <c r="T395">
        <v>23.66</v>
      </c>
      <c r="U395">
        <v>23.66</v>
      </c>
      <c r="V395" s="6">
        <v>0.52380952380952384</v>
      </c>
      <c r="W395" s="6">
        <v>0.23809523809523808</v>
      </c>
      <c r="X395" s="6">
        <v>0.23809523809523808</v>
      </c>
      <c r="Y395" s="11">
        <f>VLOOKUP(G395,'[1]historico puntos 2022-2025'!$A$2:$G$19,7,0)</f>
        <v>107</v>
      </c>
      <c r="Z395" t="s">
        <v>40</v>
      </c>
      <c r="AA395">
        <f t="shared" si="20"/>
        <v>393</v>
      </c>
    </row>
    <row r="396" spans="1:27" hidden="1" x14ac:dyDescent="0.3">
      <c r="A396" t="str">
        <f t="shared" si="18"/>
        <v>2024-Pachuca</v>
      </c>
      <c r="B396" t="str">
        <f t="shared" si="19"/>
        <v>2024-Pumas</v>
      </c>
      <c r="C396">
        <v>2024</v>
      </c>
      <c r="D396" t="s">
        <v>0</v>
      </c>
      <c r="E396" s="2">
        <v>0</v>
      </c>
      <c r="F396" s="2">
        <v>0</v>
      </c>
      <c r="G396" t="s">
        <v>16</v>
      </c>
      <c r="H396">
        <v>56.6</v>
      </c>
      <c r="I396">
        <v>5.66</v>
      </c>
      <c r="J396">
        <v>16.98</v>
      </c>
      <c r="K396">
        <v>16.98</v>
      </c>
      <c r="L396">
        <v>16.98</v>
      </c>
      <c r="M396" s="6">
        <v>0.3888888888888889</v>
      </c>
      <c r="N396" s="6">
        <v>0.33333333333333331</v>
      </c>
      <c r="O396" s="6">
        <v>0.27777777777777779</v>
      </c>
      <c r="P396" s="10">
        <v>98</v>
      </c>
      <c r="Q396">
        <v>47.6</v>
      </c>
      <c r="R396">
        <v>4.76</v>
      </c>
      <c r="S396">
        <v>14.28</v>
      </c>
      <c r="T396">
        <v>14.28</v>
      </c>
      <c r="U396">
        <v>14.28</v>
      </c>
      <c r="V396" s="6">
        <v>0.3</v>
      </c>
      <c r="W396" s="6">
        <v>0.25</v>
      </c>
      <c r="X396" s="6">
        <v>0.45</v>
      </c>
      <c r="Y396" s="11">
        <f>VLOOKUP(G396,'[1]historico puntos 2022-2025'!$A$2:$G$19,7,0)</f>
        <v>75</v>
      </c>
      <c r="Z396" t="s">
        <v>39</v>
      </c>
      <c r="AA396">
        <f t="shared" si="20"/>
        <v>394</v>
      </c>
    </row>
    <row r="397" spans="1:27" hidden="1" x14ac:dyDescent="0.3">
      <c r="A397" t="str">
        <f t="shared" si="18"/>
        <v>2024-Querétaro</v>
      </c>
      <c r="B397" t="str">
        <f t="shared" si="19"/>
        <v>2024-Pumas</v>
      </c>
      <c r="C397">
        <v>2024</v>
      </c>
      <c r="D397" t="s">
        <v>22</v>
      </c>
      <c r="E397" s="2">
        <v>1</v>
      </c>
      <c r="F397" s="2">
        <v>1</v>
      </c>
      <c r="G397" t="s">
        <v>16</v>
      </c>
      <c r="H397">
        <v>17.8</v>
      </c>
      <c r="I397">
        <v>1.78</v>
      </c>
      <c r="J397">
        <v>5.34</v>
      </c>
      <c r="K397">
        <v>5.34</v>
      </c>
      <c r="L397">
        <v>5.34</v>
      </c>
      <c r="M397" s="6">
        <v>0.35294117647058826</v>
      </c>
      <c r="N397" s="6">
        <v>0.11764705882352941</v>
      </c>
      <c r="O397" s="6">
        <v>0.52941176470588236</v>
      </c>
      <c r="P397" s="10">
        <v>64</v>
      </c>
      <c r="Q397">
        <v>47.6</v>
      </c>
      <c r="R397">
        <v>4.76</v>
      </c>
      <c r="S397">
        <v>14.28</v>
      </c>
      <c r="T397">
        <v>14.28</v>
      </c>
      <c r="U397">
        <v>14.28</v>
      </c>
      <c r="V397" s="6">
        <v>0.3</v>
      </c>
      <c r="W397" s="6">
        <v>0.25</v>
      </c>
      <c r="X397" s="6">
        <v>0.45</v>
      </c>
      <c r="Y397" s="11">
        <f>VLOOKUP(G397,'[1]historico puntos 2022-2025'!$A$2:$G$19,7,0)</f>
        <v>75</v>
      </c>
      <c r="Z397" t="s">
        <v>39</v>
      </c>
      <c r="AA397">
        <f t="shared" si="20"/>
        <v>395</v>
      </c>
    </row>
    <row r="398" spans="1:27" hidden="1" x14ac:dyDescent="0.3">
      <c r="A398" t="str">
        <f t="shared" si="18"/>
        <v>2024-Pumas</v>
      </c>
      <c r="B398" t="str">
        <f t="shared" si="19"/>
        <v>2024-América</v>
      </c>
      <c r="C398">
        <v>2024</v>
      </c>
      <c r="D398" t="s">
        <v>16</v>
      </c>
      <c r="E398" s="2">
        <v>2</v>
      </c>
      <c r="F398" s="2">
        <v>1</v>
      </c>
      <c r="G398" t="s">
        <v>14</v>
      </c>
      <c r="H398">
        <v>47.6</v>
      </c>
      <c r="I398">
        <v>4.76</v>
      </c>
      <c r="J398">
        <v>14.28</v>
      </c>
      <c r="K398">
        <v>14.28</v>
      </c>
      <c r="L398">
        <v>14.28</v>
      </c>
      <c r="M398" s="6">
        <v>0.5</v>
      </c>
      <c r="N398" s="6">
        <v>0.16666666666666666</v>
      </c>
      <c r="O398" s="6">
        <v>0.33333333333333331</v>
      </c>
      <c r="P398" s="10">
        <v>75</v>
      </c>
      <c r="Q398">
        <v>92.45</v>
      </c>
      <c r="R398">
        <v>9.25</v>
      </c>
      <c r="S398">
        <v>27.73</v>
      </c>
      <c r="T398">
        <v>27.73</v>
      </c>
      <c r="U398">
        <v>27.73</v>
      </c>
      <c r="V398" s="6">
        <v>0.375</v>
      </c>
      <c r="W398" s="6">
        <v>0.29166666666666669</v>
      </c>
      <c r="X398" s="6">
        <v>0.33333333333333331</v>
      </c>
      <c r="Y398" s="11">
        <f>VLOOKUP(G398,'[1]historico puntos 2022-2025'!$A$2:$G$19,7,0)</f>
        <v>133</v>
      </c>
      <c r="Z398" t="s">
        <v>38</v>
      </c>
      <c r="AA398">
        <f t="shared" si="20"/>
        <v>396</v>
      </c>
    </row>
    <row r="399" spans="1:27" hidden="1" x14ac:dyDescent="0.3">
      <c r="A399" t="str">
        <f t="shared" si="18"/>
        <v>2024-Pumas</v>
      </c>
      <c r="B399" t="str">
        <f t="shared" si="19"/>
        <v>2024-León</v>
      </c>
      <c r="C399">
        <v>2024</v>
      </c>
      <c r="D399" t="s">
        <v>16</v>
      </c>
      <c r="E399" s="2">
        <v>1</v>
      </c>
      <c r="F399" s="2">
        <v>0</v>
      </c>
      <c r="G399" t="s">
        <v>36</v>
      </c>
      <c r="H399">
        <v>47.6</v>
      </c>
      <c r="I399">
        <v>4.76</v>
      </c>
      <c r="J399">
        <v>14.28</v>
      </c>
      <c r="K399">
        <v>14.28</v>
      </c>
      <c r="L399">
        <v>14.28</v>
      </c>
      <c r="M399" s="6">
        <v>0.5</v>
      </c>
      <c r="N399" s="6">
        <v>0.16666666666666666</v>
      </c>
      <c r="O399" s="6">
        <v>0.33333333333333331</v>
      </c>
      <c r="P399" s="10">
        <v>75</v>
      </c>
      <c r="Q399">
        <v>29.55</v>
      </c>
      <c r="R399">
        <v>2.96</v>
      </c>
      <c r="S399">
        <v>8.8699999999999992</v>
      </c>
      <c r="T399">
        <v>8.8699999999999992</v>
      </c>
      <c r="U399">
        <v>8.8699999999999992</v>
      </c>
      <c r="V399" s="6">
        <v>0.27777777777777779</v>
      </c>
      <c r="W399" s="6">
        <v>0.27777777777777779</v>
      </c>
      <c r="X399" s="6">
        <v>0.44444444444444442</v>
      </c>
      <c r="Y399" s="11">
        <f>VLOOKUP(G399,'[1]historico puntos 2022-2025'!$A$2:$G$19,7,0)</f>
        <v>87</v>
      </c>
      <c r="Z399" t="s">
        <v>38</v>
      </c>
      <c r="AA399">
        <f t="shared" si="20"/>
        <v>397</v>
      </c>
    </row>
    <row r="400" spans="1:27" hidden="1" x14ac:dyDescent="0.3">
      <c r="A400" t="str">
        <f t="shared" si="18"/>
        <v>2024-Mazatlán</v>
      </c>
      <c r="B400" t="str">
        <f t="shared" si="19"/>
        <v>2024-Pumas</v>
      </c>
      <c r="C400">
        <v>2024</v>
      </c>
      <c r="D400" t="s">
        <v>20</v>
      </c>
      <c r="E400" s="2">
        <v>0</v>
      </c>
      <c r="F400" s="2">
        <v>4</v>
      </c>
      <c r="G400" t="s">
        <v>16</v>
      </c>
      <c r="H400">
        <v>31.45</v>
      </c>
      <c r="I400">
        <v>3.15</v>
      </c>
      <c r="J400">
        <v>9.44</v>
      </c>
      <c r="K400">
        <v>9.44</v>
      </c>
      <c r="L400">
        <v>9.44</v>
      </c>
      <c r="M400" s="6">
        <v>0.29411764705882354</v>
      </c>
      <c r="N400" s="6">
        <v>0.47058823529411764</v>
      </c>
      <c r="O400" s="6">
        <v>0.23529411764705882</v>
      </c>
      <c r="P400" s="10">
        <v>40</v>
      </c>
      <c r="Q400">
        <v>47.6</v>
      </c>
      <c r="R400">
        <v>4.76</v>
      </c>
      <c r="S400">
        <v>14.28</v>
      </c>
      <c r="T400">
        <v>14.28</v>
      </c>
      <c r="U400">
        <v>14.28</v>
      </c>
      <c r="V400" s="6">
        <v>0.3</v>
      </c>
      <c r="W400" s="6">
        <v>0.25</v>
      </c>
      <c r="X400" s="6">
        <v>0.45</v>
      </c>
      <c r="Y400" s="11">
        <f>VLOOKUP(G400,'[1]historico puntos 2022-2025'!$A$2:$G$19,7,0)</f>
        <v>75</v>
      </c>
      <c r="Z400" t="s">
        <v>40</v>
      </c>
      <c r="AA400">
        <f t="shared" si="20"/>
        <v>398</v>
      </c>
    </row>
    <row r="401" spans="1:27" hidden="1" x14ac:dyDescent="0.3">
      <c r="A401" t="str">
        <f t="shared" si="18"/>
        <v>2024-Pumas</v>
      </c>
      <c r="B401" t="str">
        <f t="shared" si="19"/>
        <v>2024-Cruz Azul</v>
      </c>
      <c r="C401">
        <v>2024</v>
      </c>
      <c r="D401" t="s">
        <v>16</v>
      </c>
      <c r="E401" s="2">
        <v>0</v>
      </c>
      <c r="F401" s="2">
        <v>0</v>
      </c>
      <c r="G401" t="s">
        <v>10</v>
      </c>
      <c r="H401">
        <v>47.6</v>
      </c>
      <c r="I401">
        <v>4.76</v>
      </c>
      <c r="J401">
        <v>14.28</v>
      </c>
      <c r="K401">
        <v>14.28</v>
      </c>
      <c r="L401">
        <v>14.28</v>
      </c>
      <c r="M401" s="6">
        <v>0.5</v>
      </c>
      <c r="N401" s="6">
        <v>0.16666666666666666</v>
      </c>
      <c r="O401" s="6">
        <v>0.33333333333333331</v>
      </c>
      <c r="P401" s="10">
        <v>75</v>
      </c>
      <c r="Q401">
        <v>78.849999999999994</v>
      </c>
      <c r="R401">
        <v>7.89</v>
      </c>
      <c r="S401">
        <v>23.66</v>
      </c>
      <c r="T401">
        <v>23.66</v>
      </c>
      <c r="U401">
        <v>23.66</v>
      </c>
      <c r="V401" s="6">
        <v>0.52380952380952384</v>
      </c>
      <c r="W401" s="6">
        <v>0.23809523809523808</v>
      </c>
      <c r="X401" s="6">
        <v>0.23809523809523808</v>
      </c>
      <c r="Y401" s="11">
        <f>VLOOKUP(G401,'[1]historico puntos 2022-2025'!$A$2:$G$19,7,0)</f>
        <v>107</v>
      </c>
      <c r="Z401" t="s">
        <v>39</v>
      </c>
      <c r="AA401">
        <f t="shared" si="20"/>
        <v>399</v>
      </c>
    </row>
    <row r="402" spans="1:27" hidden="1" x14ac:dyDescent="0.3">
      <c r="A402" t="str">
        <f t="shared" si="18"/>
        <v>2024-Toluca</v>
      </c>
      <c r="B402" t="str">
        <f t="shared" si="19"/>
        <v>2024-Pumas</v>
      </c>
      <c r="C402">
        <v>2024</v>
      </c>
      <c r="D402" t="s">
        <v>2</v>
      </c>
      <c r="E402" s="2">
        <v>3</v>
      </c>
      <c r="F402" s="2">
        <v>0</v>
      </c>
      <c r="G402" t="s">
        <v>16</v>
      </c>
      <c r="H402">
        <v>77.45</v>
      </c>
      <c r="I402">
        <v>7.75</v>
      </c>
      <c r="J402">
        <v>23.24</v>
      </c>
      <c r="K402">
        <v>23.24</v>
      </c>
      <c r="L402">
        <v>23.24</v>
      </c>
      <c r="M402" s="6">
        <v>0.76190476190476186</v>
      </c>
      <c r="N402" s="6">
        <v>0.19047619047619047</v>
      </c>
      <c r="O402" s="6">
        <v>4.7619047619047616E-2</v>
      </c>
      <c r="P402" s="10">
        <v>118</v>
      </c>
      <c r="Q402">
        <v>47.6</v>
      </c>
      <c r="R402">
        <v>4.76</v>
      </c>
      <c r="S402">
        <v>14.28</v>
      </c>
      <c r="T402">
        <v>14.28</v>
      </c>
      <c r="U402">
        <v>14.28</v>
      </c>
      <c r="V402" s="6">
        <v>0.3</v>
      </c>
      <c r="W402" s="6">
        <v>0.25</v>
      </c>
      <c r="X402" s="6">
        <v>0.45</v>
      </c>
      <c r="Y402" s="11">
        <f>VLOOKUP(G402,'[1]historico puntos 2022-2025'!$A$2:$G$19,7,0)</f>
        <v>75</v>
      </c>
      <c r="Z402" t="s">
        <v>38</v>
      </c>
      <c r="AA402">
        <f t="shared" si="20"/>
        <v>400</v>
      </c>
    </row>
    <row r="403" spans="1:27" hidden="1" x14ac:dyDescent="0.3">
      <c r="A403" t="str">
        <f t="shared" si="18"/>
        <v>2024-Monterrey</v>
      </c>
      <c r="B403" t="str">
        <f t="shared" si="19"/>
        <v>2024-Pumas</v>
      </c>
      <c r="C403">
        <v>2024</v>
      </c>
      <c r="D403" t="s">
        <v>3</v>
      </c>
      <c r="E403" s="2">
        <v>3</v>
      </c>
      <c r="F403" s="2">
        <v>0</v>
      </c>
      <c r="G403" t="s">
        <v>16</v>
      </c>
      <c r="H403">
        <v>88.6</v>
      </c>
      <c r="I403">
        <v>8.86</v>
      </c>
      <c r="J403">
        <v>26.58</v>
      </c>
      <c r="K403">
        <v>26.58</v>
      </c>
      <c r="L403">
        <v>26.58</v>
      </c>
      <c r="M403" s="6">
        <v>0.60869565217391308</v>
      </c>
      <c r="N403" s="6">
        <v>0.17391304347826086</v>
      </c>
      <c r="O403" s="6">
        <v>0.21739130434782608</v>
      </c>
      <c r="P403" s="10">
        <v>118</v>
      </c>
      <c r="Q403">
        <v>47.6</v>
      </c>
      <c r="R403">
        <v>4.76</v>
      </c>
      <c r="S403">
        <v>14.28</v>
      </c>
      <c r="T403">
        <v>14.28</v>
      </c>
      <c r="U403">
        <v>14.28</v>
      </c>
      <c r="V403" s="6">
        <v>0.3</v>
      </c>
      <c r="W403" s="6">
        <v>0.25</v>
      </c>
      <c r="X403" s="6">
        <v>0.45</v>
      </c>
      <c r="Y403" s="11">
        <f>VLOOKUP(G403,'[1]historico puntos 2022-2025'!$A$2:$G$19,7,0)</f>
        <v>75</v>
      </c>
      <c r="Z403" t="s">
        <v>38</v>
      </c>
      <c r="AA403">
        <f t="shared" si="20"/>
        <v>401</v>
      </c>
    </row>
    <row r="404" spans="1:27" hidden="1" x14ac:dyDescent="0.3">
      <c r="A404" t="str">
        <f t="shared" si="18"/>
        <v>2024-Chivas</v>
      </c>
      <c r="B404" t="str">
        <f t="shared" si="19"/>
        <v>2024-Pumas</v>
      </c>
      <c r="C404">
        <v>2024</v>
      </c>
      <c r="D404" t="s">
        <v>21</v>
      </c>
      <c r="E404" s="2">
        <v>3</v>
      </c>
      <c r="F404" s="2">
        <v>1</v>
      </c>
      <c r="G404" t="s">
        <v>16</v>
      </c>
      <c r="H404">
        <v>70.2</v>
      </c>
      <c r="I404">
        <v>7.02</v>
      </c>
      <c r="J404">
        <v>21.06</v>
      </c>
      <c r="K404">
        <v>21.06</v>
      </c>
      <c r="L404">
        <v>21.06</v>
      </c>
      <c r="M404" s="6">
        <v>0.44444444444444442</v>
      </c>
      <c r="N404" s="6">
        <v>0.33333333333333331</v>
      </c>
      <c r="O404" s="6">
        <v>0.22222222222222221</v>
      </c>
      <c r="P404" s="10">
        <v>99</v>
      </c>
      <c r="Q404">
        <v>47.6</v>
      </c>
      <c r="R404">
        <v>4.76</v>
      </c>
      <c r="S404">
        <v>14.28</v>
      </c>
      <c r="T404">
        <v>14.28</v>
      </c>
      <c r="U404">
        <v>14.28</v>
      </c>
      <c r="V404" s="6">
        <v>0.3</v>
      </c>
      <c r="W404" s="6">
        <v>0.25</v>
      </c>
      <c r="X404" s="6">
        <v>0.45</v>
      </c>
      <c r="Y404" s="11">
        <f>VLOOKUP(G404,'[1]historico puntos 2022-2025'!$A$2:$G$19,7,0)</f>
        <v>75</v>
      </c>
      <c r="Z404" t="s">
        <v>38</v>
      </c>
      <c r="AA404">
        <f t="shared" si="20"/>
        <v>402</v>
      </c>
    </row>
    <row r="405" spans="1:27" hidden="1" x14ac:dyDescent="0.3">
      <c r="A405" t="str">
        <f t="shared" si="18"/>
        <v>2024-Pumas</v>
      </c>
      <c r="B405" t="str">
        <f t="shared" si="19"/>
        <v>2024-Santos Laguna</v>
      </c>
      <c r="C405">
        <v>2024</v>
      </c>
      <c r="D405" t="s">
        <v>16</v>
      </c>
      <c r="E405" s="2">
        <v>3</v>
      </c>
      <c r="F405" s="2">
        <v>0</v>
      </c>
      <c r="G405" t="s">
        <v>11</v>
      </c>
      <c r="H405">
        <v>47.6</v>
      </c>
      <c r="I405">
        <v>4.76</v>
      </c>
      <c r="J405">
        <v>14.28</v>
      </c>
      <c r="K405">
        <v>14.28</v>
      </c>
      <c r="L405">
        <v>14.28</v>
      </c>
      <c r="M405" s="6">
        <v>0.5</v>
      </c>
      <c r="N405" s="6">
        <v>0.16666666666666666</v>
      </c>
      <c r="O405" s="6">
        <v>0.33333333333333331</v>
      </c>
      <c r="P405" s="10">
        <v>75</v>
      </c>
      <c r="Q405" t="s">
        <v>37</v>
      </c>
      <c r="R405" t="s">
        <v>37</v>
      </c>
      <c r="S405" t="s">
        <v>37</v>
      </c>
      <c r="T405" t="s">
        <v>37</v>
      </c>
      <c r="U405" t="s">
        <v>37</v>
      </c>
      <c r="V405" s="6">
        <v>0</v>
      </c>
      <c r="W405" s="6">
        <v>0.11764705882352941</v>
      </c>
      <c r="X405" s="6">
        <v>0.88235294117647056</v>
      </c>
      <c r="Y405" s="11">
        <f>VLOOKUP(G405,'[1]historico puntos 2022-2025'!$A$2:$G$19,7,0)</f>
        <v>46</v>
      </c>
      <c r="Z405" t="s">
        <v>38</v>
      </c>
      <c r="AA405">
        <f t="shared" si="20"/>
        <v>403</v>
      </c>
    </row>
    <row r="406" spans="1:27" hidden="1" x14ac:dyDescent="0.3">
      <c r="A406" t="str">
        <f t="shared" si="18"/>
        <v>2024-Atlas</v>
      </c>
      <c r="B406" t="str">
        <f t="shared" si="19"/>
        <v>2024-Pumas</v>
      </c>
      <c r="C406">
        <v>2024</v>
      </c>
      <c r="D406" t="s">
        <v>5</v>
      </c>
      <c r="E406" s="2">
        <v>0</v>
      </c>
      <c r="F406" s="2">
        <v>0</v>
      </c>
      <c r="G406" t="s">
        <v>16</v>
      </c>
      <c r="H406">
        <v>28.95</v>
      </c>
      <c r="I406">
        <v>2.9</v>
      </c>
      <c r="J406">
        <v>8.68</v>
      </c>
      <c r="K406">
        <v>8.68</v>
      </c>
      <c r="L406">
        <v>8.68</v>
      </c>
      <c r="M406" s="6" t="s">
        <v>37</v>
      </c>
      <c r="N406" s="6" t="s">
        <v>37</v>
      </c>
      <c r="O406" s="6" t="s">
        <v>37</v>
      </c>
      <c r="P406" s="10">
        <v>60</v>
      </c>
      <c r="Q406">
        <v>47.6</v>
      </c>
      <c r="R406">
        <v>4.76</v>
      </c>
      <c r="S406">
        <v>14.28</v>
      </c>
      <c r="T406">
        <v>14.28</v>
      </c>
      <c r="U406">
        <v>14.28</v>
      </c>
      <c r="V406" s="6">
        <v>0.3</v>
      </c>
      <c r="W406" s="6">
        <v>0.25</v>
      </c>
      <c r="X406" s="6">
        <v>0.45</v>
      </c>
      <c r="Y406" s="11">
        <f>VLOOKUP(G406,'[1]historico puntos 2022-2025'!$A$2:$G$19,7,0)</f>
        <v>75</v>
      </c>
      <c r="Z406" t="s">
        <v>39</v>
      </c>
      <c r="AA406">
        <f t="shared" si="20"/>
        <v>404</v>
      </c>
    </row>
    <row r="407" spans="1:27" hidden="1" x14ac:dyDescent="0.3">
      <c r="A407" t="str">
        <f t="shared" si="18"/>
        <v>2024-Pumas</v>
      </c>
      <c r="B407" t="str">
        <f t="shared" si="19"/>
        <v>2024-Puebla</v>
      </c>
      <c r="C407">
        <v>2024</v>
      </c>
      <c r="D407" t="s">
        <v>16</v>
      </c>
      <c r="E407" s="2">
        <v>3</v>
      </c>
      <c r="F407" s="2">
        <v>0</v>
      </c>
      <c r="G407" t="s">
        <v>1</v>
      </c>
      <c r="H407">
        <v>47.6</v>
      </c>
      <c r="I407">
        <v>4.76</v>
      </c>
      <c r="J407">
        <v>14.28</v>
      </c>
      <c r="K407">
        <v>14.28</v>
      </c>
      <c r="L407">
        <v>14.28</v>
      </c>
      <c r="M407" s="6">
        <v>0.5</v>
      </c>
      <c r="N407" s="6">
        <v>0.16666666666666666</v>
      </c>
      <c r="O407" s="6">
        <v>0.33333333333333331</v>
      </c>
      <c r="P407" s="10">
        <v>75</v>
      </c>
      <c r="Q407">
        <v>24.1</v>
      </c>
      <c r="R407">
        <v>2.41</v>
      </c>
      <c r="S407">
        <v>7.23</v>
      </c>
      <c r="T407">
        <v>7.23</v>
      </c>
      <c r="U407">
        <v>7.23</v>
      </c>
      <c r="V407" s="6">
        <v>0.11764705882352941</v>
      </c>
      <c r="W407" s="6">
        <v>0.17647058823529413</v>
      </c>
      <c r="X407" s="6">
        <v>0.70588235294117652</v>
      </c>
      <c r="Y407" s="11">
        <f>VLOOKUP(G407,'[1]historico puntos 2022-2025'!$A$2:$G$19,7,0)</f>
        <v>34</v>
      </c>
      <c r="Z407" t="s">
        <v>38</v>
      </c>
      <c r="AA407">
        <f t="shared" si="20"/>
        <v>405</v>
      </c>
    </row>
    <row r="408" spans="1:27" x14ac:dyDescent="0.3">
      <c r="A408" t="str">
        <f t="shared" si="18"/>
        <v>2024-Tigres</v>
      </c>
      <c r="B408" t="str">
        <f t="shared" si="19"/>
        <v>2024-Pumas</v>
      </c>
      <c r="C408">
        <v>2024</v>
      </c>
      <c r="D408" t="s">
        <v>17</v>
      </c>
      <c r="E408" s="2">
        <v>2</v>
      </c>
      <c r="F408" s="2">
        <v>2</v>
      </c>
      <c r="G408" t="s">
        <v>16</v>
      </c>
      <c r="H408">
        <v>67</v>
      </c>
      <c r="I408">
        <v>6.7</v>
      </c>
      <c r="J408">
        <v>20.100000000000001</v>
      </c>
      <c r="K408">
        <v>20.100000000000001</v>
      </c>
      <c r="L408">
        <v>20.100000000000001</v>
      </c>
      <c r="M408" s="6">
        <v>0.7</v>
      </c>
      <c r="N408" s="6">
        <v>0.25</v>
      </c>
      <c r="O408" s="6">
        <v>0.05</v>
      </c>
      <c r="P408" s="10">
        <v>107</v>
      </c>
      <c r="Q408">
        <v>47.6</v>
      </c>
      <c r="R408">
        <v>4.76</v>
      </c>
      <c r="S408">
        <v>14.28</v>
      </c>
      <c r="T408">
        <v>14.28</v>
      </c>
      <c r="U408">
        <v>14.28</v>
      </c>
      <c r="V408" s="6">
        <v>0.3</v>
      </c>
      <c r="W408" s="6">
        <v>0.25</v>
      </c>
      <c r="X408" s="6">
        <v>0.45</v>
      </c>
      <c r="Y408" s="11">
        <f>VLOOKUP(G408,'[1]historico puntos 2022-2025'!$A$2:$G$19,7,0)</f>
        <v>75</v>
      </c>
      <c r="Z408" t="s">
        <v>39</v>
      </c>
      <c r="AA408">
        <f t="shared" si="20"/>
        <v>406</v>
      </c>
    </row>
    <row r="409" spans="1:27" hidden="1" x14ac:dyDescent="0.3">
      <c r="A409" t="str">
        <f t="shared" si="18"/>
        <v>2024-Pumas</v>
      </c>
      <c r="B409" t="str">
        <f t="shared" si="19"/>
        <v>2024-Necaxa</v>
      </c>
      <c r="C409">
        <v>2024</v>
      </c>
      <c r="D409" t="s">
        <v>16</v>
      </c>
      <c r="E409" s="2">
        <v>2</v>
      </c>
      <c r="F409" s="2">
        <v>2</v>
      </c>
      <c r="G409" t="s">
        <v>4</v>
      </c>
      <c r="H409">
        <v>47.6</v>
      </c>
      <c r="I409">
        <v>4.76</v>
      </c>
      <c r="J409">
        <v>14.28</v>
      </c>
      <c r="K409">
        <v>14.28</v>
      </c>
      <c r="L409">
        <v>14.28</v>
      </c>
      <c r="M409" s="6">
        <v>0.5</v>
      </c>
      <c r="N409" s="6">
        <v>0.16666666666666666</v>
      </c>
      <c r="O409" s="6">
        <v>0.33333333333333331</v>
      </c>
      <c r="P409" s="10">
        <v>75</v>
      </c>
      <c r="Q409">
        <v>38.5</v>
      </c>
      <c r="R409">
        <v>3.85</v>
      </c>
      <c r="S409">
        <v>11.55</v>
      </c>
      <c r="T409">
        <v>11.55</v>
      </c>
      <c r="U409">
        <v>11.55</v>
      </c>
      <c r="V409" s="6">
        <v>0.27777777777777779</v>
      </c>
      <c r="W409" s="6">
        <v>0.27777777777777779</v>
      </c>
      <c r="X409" s="6">
        <v>0.44444444444444442</v>
      </c>
      <c r="Y409" s="11">
        <f>VLOOKUP(G409,'[1]historico puntos 2022-2025'!$A$2:$G$19,7,0)</f>
        <v>77</v>
      </c>
      <c r="Z409" t="s">
        <v>39</v>
      </c>
      <c r="AA409">
        <f t="shared" si="20"/>
        <v>407</v>
      </c>
    </row>
    <row r="410" spans="1:27" hidden="1" x14ac:dyDescent="0.3">
      <c r="A410" t="str">
        <f t="shared" si="18"/>
        <v>2024-Pumas</v>
      </c>
      <c r="B410" t="str">
        <f t="shared" si="19"/>
        <v>2024-Pachuca</v>
      </c>
      <c r="C410">
        <v>2024</v>
      </c>
      <c r="D410" t="s">
        <v>16</v>
      </c>
      <c r="E410" s="2">
        <v>3</v>
      </c>
      <c r="F410" s="2">
        <v>1</v>
      </c>
      <c r="G410" t="s">
        <v>0</v>
      </c>
      <c r="H410">
        <v>47.6</v>
      </c>
      <c r="I410">
        <v>4.76</v>
      </c>
      <c r="J410">
        <v>14.28</v>
      </c>
      <c r="K410">
        <v>14.28</v>
      </c>
      <c r="L410">
        <v>14.28</v>
      </c>
      <c r="M410" s="6">
        <v>0.5</v>
      </c>
      <c r="N410" s="6">
        <v>0.16666666666666666</v>
      </c>
      <c r="O410" s="6">
        <v>0.33333333333333331</v>
      </c>
      <c r="P410" s="10">
        <v>75</v>
      </c>
      <c r="Q410">
        <v>56.6</v>
      </c>
      <c r="R410">
        <v>5.66</v>
      </c>
      <c r="S410">
        <v>16.98</v>
      </c>
      <c r="T410">
        <v>16.98</v>
      </c>
      <c r="U410">
        <v>16.98</v>
      </c>
      <c r="V410" s="6">
        <v>0.26315789473684209</v>
      </c>
      <c r="W410" s="6">
        <v>0.15789473684210525</v>
      </c>
      <c r="X410" s="6">
        <v>0.57894736842105265</v>
      </c>
      <c r="Y410" s="11">
        <f>VLOOKUP(G410,'[1]historico puntos 2022-2025'!$A$2:$G$19,7,0)</f>
        <v>98</v>
      </c>
      <c r="Z410" t="s">
        <v>38</v>
      </c>
      <c r="AA410">
        <f t="shared" si="20"/>
        <v>408</v>
      </c>
    </row>
    <row r="411" spans="1:27" hidden="1" x14ac:dyDescent="0.3">
      <c r="A411" t="str">
        <f t="shared" si="18"/>
        <v>2024-Atlético San Luis</v>
      </c>
      <c r="B411" t="str">
        <f t="shared" si="19"/>
        <v>2024-Pumas</v>
      </c>
      <c r="C411">
        <v>2024</v>
      </c>
      <c r="D411" t="s">
        <v>15</v>
      </c>
      <c r="E411" s="2">
        <v>3</v>
      </c>
      <c r="F411" s="2">
        <v>1</v>
      </c>
      <c r="G411" t="s">
        <v>16</v>
      </c>
      <c r="H411">
        <v>45.95</v>
      </c>
      <c r="I411">
        <v>4.5999999999999996</v>
      </c>
      <c r="J411">
        <v>13.84</v>
      </c>
      <c r="K411">
        <v>13.84</v>
      </c>
      <c r="L411">
        <v>13.84</v>
      </c>
      <c r="M411" s="6">
        <v>0.68421052631578949</v>
      </c>
      <c r="N411" s="6">
        <v>5.2631578947368418E-2</v>
      </c>
      <c r="O411" s="6">
        <v>0.26315789473684209</v>
      </c>
      <c r="P411" s="10">
        <v>59</v>
      </c>
      <c r="Q411">
        <v>47.6</v>
      </c>
      <c r="R411">
        <v>4.76</v>
      </c>
      <c r="S411">
        <v>14.28</v>
      </c>
      <c r="T411">
        <v>14.28</v>
      </c>
      <c r="U411">
        <v>14.28</v>
      </c>
      <c r="V411" s="6">
        <v>0.3</v>
      </c>
      <c r="W411" s="6">
        <v>0.25</v>
      </c>
      <c r="X411" s="6">
        <v>0.45</v>
      </c>
      <c r="Y411" s="11">
        <f>VLOOKUP(G411,'[1]historico puntos 2022-2025'!$A$2:$G$19,7,0)</f>
        <v>75</v>
      </c>
      <c r="Z411" t="s">
        <v>38</v>
      </c>
      <c r="AA411">
        <f t="shared" si="20"/>
        <v>409</v>
      </c>
    </row>
    <row r="412" spans="1:27" x14ac:dyDescent="0.3">
      <c r="A412" t="str">
        <f t="shared" si="18"/>
        <v>2023-Tigres</v>
      </c>
      <c r="B412" t="str">
        <f t="shared" si="19"/>
        <v>2023-Pumas</v>
      </c>
      <c r="C412">
        <v>2023</v>
      </c>
      <c r="D412" t="s">
        <v>17</v>
      </c>
      <c r="E412" s="2">
        <v>1</v>
      </c>
      <c r="F412" s="2">
        <v>1</v>
      </c>
      <c r="G412" t="s">
        <v>16</v>
      </c>
      <c r="H412">
        <v>67.599999999999994</v>
      </c>
      <c r="I412">
        <v>6.76</v>
      </c>
      <c r="J412">
        <v>20.28</v>
      </c>
      <c r="K412">
        <v>20.28</v>
      </c>
      <c r="L412">
        <v>20.28</v>
      </c>
      <c r="M412" s="6">
        <v>0.7</v>
      </c>
      <c r="N412" s="6">
        <v>0.25</v>
      </c>
      <c r="O412" s="6">
        <v>0.05</v>
      </c>
      <c r="P412" s="10">
        <v>107</v>
      </c>
      <c r="Q412" t="s">
        <v>37</v>
      </c>
      <c r="R412" t="s">
        <v>37</v>
      </c>
      <c r="S412" t="s">
        <v>37</v>
      </c>
      <c r="T412" t="s">
        <v>37</v>
      </c>
      <c r="U412" t="s">
        <v>37</v>
      </c>
      <c r="V412" s="6">
        <v>0.3</v>
      </c>
      <c r="W412" s="6">
        <v>0.25</v>
      </c>
      <c r="X412" s="6">
        <v>0.45</v>
      </c>
      <c r="Y412" s="11">
        <f>VLOOKUP(G412,'[1]historico puntos 2022-2025'!$A$2:$G$19,7,0)</f>
        <v>75</v>
      </c>
      <c r="Z412" t="s">
        <v>39</v>
      </c>
      <c r="AA412">
        <f t="shared" si="20"/>
        <v>410</v>
      </c>
    </row>
    <row r="413" spans="1:27" hidden="1" x14ac:dyDescent="0.3">
      <c r="A413" t="str">
        <f t="shared" si="18"/>
        <v>2023-Pumas</v>
      </c>
      <c r="B413" t="str">
        <f t="shared" si="19"/>
        <v>2023-Chivas</v>
      </c>
      <c r="C413">
        <v>2023</v>
      </c>
      <c r="D413" t="s">
        <v>16</v>
      </c>
      <c r="E413" s="2">
        <v>3</v>
      </c>
      <c r="F413" s="2">
        <v>0</v>
      </c>
      <c r="G413" t="s">
        <v>21</v>
      </c>
      <c r="H413" t="s">
        <v>37</v>
      </c>
      <c r="I413" t="s">
        <v>37</v>
      </c>
      <c r="J413" t="s">
        <v>37</v>
      </c>
      <c r="K413" t="s">
        <v>37</v>
      </c>
      <c r="L413" t="s">
        <v>37</v>
      </c>
      <c r="M413" s="6">
        <v>0.5</v>
      </c>
      <c r="N413" s="6">
        <v>0.16666666666666666</v>
      </c>
      <c r="O413" s="6">
        <v>0.33333333333333331</v>
      </c>
      <c r="P413" s="10">
        <v>75</v>
      </c>
      <c r="Q413" t="s">
        <v>37</v>
      </c>
      <c r="R413" t="s">
        <v>37</v>
      </c>
      <c r="S413" t="s">
        <v>37</v>
      </c>
      <c r="T413" t="s">
        <v>37</v>
      </c>
      <c r="U413" t="s">
        <v>37</v>
      </c>
      <c r="V413" s="6">
        <v>0.23529411764705882</v>
      </c>
      <c r="W413" s="6">
        <v>0.23529411764705882</v>
      </c>
      <c r="X413" s="6">
        <v>0.52941176470588236</v>
      </c>
      <c r="Y413" s="11">
        <f>VLOOKUP(G413,'[1]historico puntos 2022-2025'!$A$2:$G$19,7,0)</f>
        <v>99</v>
      </c>
      <c r="Z413" t="s">
        <v>38</v>
      </c>
      <c r="AA413">
        <f t="shared" si="20"/>
        <v>411</v>
      </c>
    </row>
    <row r="414" spans="1:27" hidden="1" x14ac:dyDescent="0.3">
      <c r="A414" t="str">
        <f t="shared" si="18"/>
        <v>2023-Chivas</v>
      </c>
      <c r="B414" t="str">
        <f t="shared" si="19"/>
        <v>2023-Pumas</v>
      </c>
      <c r="C414">
        <v>2023</v>
      </c>
      <c r="D414" t="s">
        <v>21</v>
      </c>
      <c r="E414" s="2">
        <v>1</v>
      </c>
      <c r="F414" s="2">
        <v>0</v>
      </c>
      <c r="G414" t="s">
        <v>16</v>
      </c>
      <c r="H414">
        <v>69.7</v>
      </c>
      <c r="I414">
        <v>6.97</v>
      </c>
      <c r="J414">
        <v>20.91</v>
      </c>
      <c r="K414">
        <v>20.91</v>
      </c>
      <c r="L414">
        <v>20.91</v>
      </c>
      <c r="M414" s="6">
        <v>0.44444444444444442</v>
      </c>
      <c r="N414" s="6">
        <v>0.33333333333333331</v>
      </c>
      <c r="O414" s="6">
        <v>0.22222222222222221</v>
      </c>
      <c r="P414" s="10">
        <v>99</v>
      </c>
      <c r="Q414" t="s">
        <v>37</v>
      </c>
      <c r="R414" t="s">
        <v>37</v>
      </c>
      <c r="S414" t="s">
        <v>37</v>
      </c>
      <c r="T414" t="s">
        <v>37</v>
      </c>
      <c r="U414" t="s">
        <v>37</v>
      </c>
      <c r="V414" s="6">
        <v>0.3</v>
      </c>
      <c r="W414" s="6">
        <v>0.25</v>
      </c>
      <c r="X414" s="6">
        <v>0.45</v>
      </c>
      <c r="Y414" s="11">
        <f>VLOOKUP(G414,'[1]historico puntos 2022-2025'!$A$2:$G$19,7,0)</f>
        <v>75</v>
      </c>
      <c r="Z414" t="s">
        <v>38</v>
      </c>
      <c r="AA414">
        <f t="shared" si="20"/>
        <v>412</v>
      </c>
    </row>
    <row r="415" spans="1:27" hidden="1" x14ac:dyDescent="0.3">
      <c r="A415" t="str">
        <f t="shared" si="18"/>
        <v>2023-Pumas</v>
      </c>
      <c r="B415" t="str">
        <f t="shared" si="19"/>
        <v>2023-Chivas</v>
      </c>
      <c r="C415">
        <v>2023</v>
      </c>
      <c r="D415" t="s">
        <v>16</v>
      </c>
      <c r="E415" s="2">
        <v>1</v>
      </c>
      <c r="F415" s="2">
        <v>0</v>
      </c>
      <c r="G415" t="s">
        <v>21</v>
      </c>
      <c r="H415" t="s">
        <v>37</v>
      </c>
      <c r="I415" t="s">
        <v>37</v>
      </c>
      <c r="J415" t="s">
        <v>37</v>
      </c>
      <c r="K415" t="s">
        <v>37</v>
      </c>
      <c r="L415" t="s">
        <v>37</v>
      </c>
      <c r="M415" s="6">
        <v>0.5</v>
      </c>
      <c r="N415" s="6">
        <v>0.16666666666666666</v>
      </c>
      <c r="O415" s="6">
        <v>0.33333333333333331</v>
      </c>
      <c r="P415" s="10">
        <v>75</v>
      </c>
      <c r="Q415" t="s">
        <v>37</v>
      </c>
      <c r="R415" t="s">
        <v>37</v>
      </c>
      <c r="S415" t="s">
        <v>37</v>
      </c>
      <c r="T415" t="s">
        <v>37</v>
      </c>
      <c r="U415" t="s">
        <v>37</v>
      </c>
      <c r="V415" s="6">
        <v>0.23529411764705882</v>
      </c>
      <c r="W415" s="6">
        <v>0.23529411764705882</v>
      </c>
      <c r="X415" s="6">
        <v>0.52941176470588236</v>
      </c>
      <c r="Y415" s="11">
        <f>VLOOKUP(G415,'[1]historico puntos 2022-2025'!$A$2:$G$19,7,0)</f>
        <v>99</v>
      </c>
      <c r="Z415" t="s">
        <v>38</v>
      </c>
      <c r="AA415">
        <f t="shared" si="20"/>
        <v>413</v>
      </c>
    </row>
    <row r="416" spans="1:27" hidden="1" x14ac:dyDescent="0.3">
      <c r="A416" t="str">
        <f t="shared" si="18"/>
        <v>2023-Pumas</v>
      </c>
      <c r="B416" t="str">
        <f t="shared" si="19"/>
        <v>2023-Atlas</v>
      </c>
      <c r="C416">
        <v>2023</v>
      </c>
      <c r="D416" t="s">
        <v>16</v>
      </c>
      <c r="E416" s="2">
        <v>3</v>
      </c>
      <c r="F416" s="2">
        <v>0</v>
      </c>
      <c r="G416" t="s">
        <v>5</v>
      </c>
      <c r="H416" t="s">
        <v>37</v>
      </c>
      <c r="I416" t="s">
        <v>37</v>
      </c>
      <c r="J416" t="s">
        <v>37</v>
      </c>
      <c r="K416" t="s">
        <v>37</v>
      </c>
      <c r="L416" t="s">
        <v>37</v>
      </c>
      <c r="M416" s="6">
        <v>0.5</v>
      </c>
      <c r="N416" s="6">
        <v>0.16666666666666666</v>
      </c>
      <c r="O416" s="6">
        <v>0.33333333333333331</v>
      </c>
      <c r="P416" s="10">
        <v>75</v>
      </c>
      <c r="Q416">
        <v>30.7</v>
      </c>
      <c r="R416">
        <v>3.07</v>
      </c>
      <c r="S416">
        <v>9.2100000000000009</v>
      </c>
      <c r="T416">
        <v>9.2100000000000009</v>
      </c>
      <c r="U416">
        <v>9.2100000000000009</v>
      </c>
      <c r="V416" s="6">
        <v>0.26315789473684209</v>
      </c>
      <c r="W416" s="6">
        <v>0.31578947368421051</v>
      </c>
      <c r="X416" s="6">
        <v>0.42105263157894735</v>
      </c>
      <c r="Y416" s="11">
        <f>VLOOKUP(G416,'[1]historico puntos 2022-2025'!$A$2:$G$19,7,0)</f>
        <v>60</v>
      </c>
      <c r="Z416" t="s">
        <v>38</v>
      </c>
      <c r="AA416">
        <f t="shared" si="20"/>
        <v>414</v>
      </c>
    </row>
    <row r="417" spans="1:27" hidden="1" x14ac:dyDescent="0.3">
      <c r="A417" t="str">
        <f t="shared" si="18"/>
        <v>2023-León</v>
      </c>
      <c r="B417" t="str">
        <f t="shared" si="19"/>
        <v>2023-Pumas</v>
      </c>
      <c r="C417">
        <v>2023</v>
      </c>
      <c r="D417" t="s">
        <v>36</v>
      </c>
      <c r="E417" s="2">
        <v>1</v>
      </c>
      <c r="F417" s="2">
        <v>1</v>
      </c>
      <c r="G417" t="s">
        <v>16</v>
      </c>
      <c r="H417">
        <v>41.5</v>
      </c>
      <c r="I417">
        <v>4.1500000000000004</v>
      </c>
      <c r="J417">
        <v>12.45</v>
      </c>
      <c r="K417">
        <v>12.45</v>
      </c>
      <c r="L417">
        <v>12.45</v>
      </c>
      <c r="M417" s="6">
        <v>0.3888888888888889</v>
      </c>
      <c r="N417" s="6">
        <v>0.3888888888888889</v>
      </c>
      <c r="O417" s="6">
        <v>0.22222222222222221</v>
      </c>
      <c r="P417" s="10">
        <v>87</v>
      </c>
      <c r="Q417" t="s">
        <v>37</v>
      </c>
      <c r="R417" t="s">
        <v>37</v>
      </c>
      <c r="S417" t="s">
        <v>37</v>
      </c>
      <c r="T417" t="s">
        <v>37</v>
      </c>
      <c r="U417" t="s">
        <v>37</v>
      </c>
      <c r="V417" s="6">
        <v>0.3</v>
      </c>
      <c r="W417" s="6">
        <v>0.25</v>
      </c>
      <c r="X417" s="6">
        <v>0.45</v>
      </c>
      <c r="Y417" s="11">
        <f>VLOOKUP(G417,'[1]historico puntos 2022-2025'!$A$2:$G$19,7,0)</f>
        <v>75</v>
      </c>
      <c r="Z417" t="s">
        <v>39</v>
      </c>
      <c r="AA417">
        <f t="shared" si="20"/>
        <v>415</v>
      </c>
    </row>
    <row r="418" spans="1:27" hidden="1" x14ac:dyDescent="0.3">
      <c r="A418" t="str">
        <f t="shared" si="18"/>
        <v>2023-Necaxa</v>
      </c>
      <c r="B418" t="str">
        <f t="shared" si="19"/>
        <v>2023-Pumas</v>
      </c>
      <c r="C418">
        <v>2023</v>
      </c>
      <c r="D418" t="s">
        <v>4</v>
      </c>
      <c r="E418" s="2">
        <v>1</v>
      </c>
      <c r="F418" s="2">
        <v>0</v>
      </c>
      <c r="G418" t="s">
        <v>16</v>
      </c>
      <c r="H418">
        <v>40</v>
      </c>
      <c r="I418">
        <v>4</v>
      </c>
      <c r="J418">
        <v>12</v>
      </c>
      <c r="K418">
        <v>12</v>
      </c>
      <c r="L418">
        <v>12</v>
      </c>
      <c r="M418" s="6">
        <v>0.44444444444444442</v>
      </c>
      <c r="N418" s="6">
        <v>0.22222222222222221</v>
      </c>
      <c r="O418" s="6">
        <v>0.33333333333333331</v>
      </c>
      <c r="P418" s="10">
        <v>77</v>
      </c>
      <c r="Q418" t="s">
        <v>37</v>
      </c>
      <c r="R418" t="s">
        <v>37</v>
      </c>
      <c r="S418" t="s">
        <v>37</v>
      </c>
      <c r="T418" t="s">
        <v>37</v>
      </c>
      <c r="U418" t="s">
        <v>37</v>
      </c>
      <c r="V418" s="6">
        <v>0.3</v>
      </c>
      <c r="W418" s="6">
        <v>0.25</v>
      </c>
      <c r="X418" s="6">
        <v>0.45</v>
      </c>
      <c r="Y418" s="11">
        <f>VLOOKUP(G418,'[1]historico puntos 2022-2025'!$A$2:$G$19,7,0)</f>
        <v>75</v>
      </c>
      <c r="Z418" t="s">
        <v>38</v>
      </c>
      <c r="AA418">
        <f t="shared" si="20"/>
        <v>416</v>
      </c>
    </row>
    <row r="419" spans="1:27" hidden="1" x14ac:dyDescent="0.3">
      <c r="A419" t="str">
        <f t="shared" si="18"/>
        <v>2023-Pumas</v>
      </c>
      <c r="B419" t="str">
        <f t="shared" si="19"/>
        <v>2023-Monterrey</v>
      </c>
      <c r="C419">
        <v>2023</v>
      </c>
      <c r="D419" t="s">
        <v>16</v>
      </c>
      <c r="E419" s="2">
        <v>0</v>
      </c>
      <c r="F419" s="2">
        <v>1</v>
      </c>
      <c r="G419" t="s">
        <v>3</v>
      </c>
      <c r="H419" t="s">
        <v>37</v>
      </c>
      <c r="I419" t="s">
        <v>37</v>
      </c>
      <c r="J419" t="s">
        <v>37</v>
      </c>
      <c r="K419" t="s">
        <v>37</v>
      </c>
      <c r="L419" t="s">
        <v>37</v>
      </c>
      <c r="M419" s="6">
        <v>0.5</v>
      </c>
      <c r="N419" s="6">
        <v>0.16666666666666666</v>
      </c>
      <c r="O419" s="6">
        <v>0.33333333333333331</v>
      </c>
      <c r="P419" s="10">
        <v>75</v>
      </c>
      <c r="Q419">
        <v>88.1</v>
      </c>
      <c r="R419">
        <v>8.81</v>
      </c>
      <c r="S419">
        <v>26.43</v>
      </c>
      <c r="T419">
        <v>26.43</v>
      </c>
      <c r="U419">
        <v>26.43</v>
      </c>
      <c r="V419" s="6">
        <v>0.38095238095238093</v>
      </c>
      <c r="W419" s="6">
        <v>0.23809523809523808</v>
      </c>
      <c r="X419" s="6">
        <v>0.38095238095238093</v>
      </c>
      <c r="Y419" s="11">
        <f>VLOOKUP(G419,'[1]historico puntos 2022-2025'!$A$2:$G$19,7,0)</f>
        <v>118</v>
      </c>
      <c r="Z419" t="s">
        <v>40</v>
      </c>
      <c r="AA419">
        <f t="shared" si="20"/>
        <v>417</v>
      </c>
    </row>
    <row r="420" spans="1:27" hidden="1" x14ac:dyDescent="0.3">
      <c r="A420" t="str">
        <f t="shared" si="18"/>
        <v>2023-Cruz Azul</v>
      </c>
      <c r="B420" t="str">
        <f t="shared" si="19"/>
        <v>2023-Pumas</v>
      </c>
      <c r="C420">
        <v>2023</v>
      </c>
      <c r="D420" t="s">
        <v>10</v>
      </c>
      <c r="E420" s="2">
        <v>1</v>
      </c>
      <c r="F420" s="2">
        <v>4</v>
      </c>
      <c r="G420" t="s">
        <v>16</v>
      </c>
      <c r="H420">
        <v>72.2</v>
      </c>
      <c r="I420">
        <v>7.22</v>
      </c>
      <c r="J420">
        <v>21.66</v>
      </c>
      <c r="K420">
        <v>21.66</v>
      </c>
      <c r="L420">
        <v>21.66</v>
      </c>
      <c r="M420" s="6">
        <v>0.7142857142857143</v>
      </c>
      <c r="N420" s="6">
        <v>0.23809523809523808</v>
      </c>
      <c r="O420" s="6">
        <v>4.7619047619047616E-2</v>
      </c>
      <c r="P420" s="10">
        <v>107</v>
      </c>
      <c r="Q420" t="s">
        <v>37</v>
      </c>
      <c r="R420" t="s">
        <v>37</v>
      </c>
      <c r="S420" t="s">
        <v>37</v>
      </c>
      <c r="T420" t="s">
        <v>37</v>
      </c>
      <c r="U420" t="s">
        <v>37</v>
      </c>
      <c r="V420" s="6">
        <v>0.3</v>
      </c>
      <c r="W420" s="6">
        <v>0.25</v>
      </c>
      <c r="X420" s="6">
        <v>0.45</v>
      </c>
      <c r="Y420" s="11">
        <f>VLOOKUP(G420,'[1]historico puntos 2022-2025'!$A$2:$G$19,7,0)</f>
        <v>75</v>
      </c>
      <c r="Z420" t="s">
        <v>40</v>
      </c>
      <c r="AA420">
        <f t="shared" si="20"/>
        <v>418</v>
      </c>
    </row>
    <row r="421" spans="1:27" hidden="1" x14ac:dyDescent="0.3">
      <c r="A421" t="str">
        <f t="shared" si="18"/>
        <v>2023-Pumas</v>
      </c>
      <c r="B421" t="str">
        <f t="shared" si="19"/>
        <v>2023-Querétaro</v>
      </c>
      <c r="C421">
        <v>2023</v>
      </c>
      <c r="D421" t="s">
        <v>16</v>
      </c>
      <c r="E421" s="2">
        <v>4</v>
      </c>
      <c r="F421" s="2">
        <v>0</v>
      </c>
      <c r="G421" t="s">
        <v>22</v>
      </c>
      <c r="H421" t="s">
        <v>37</v>
      </c>
      <c r="I421" t="s">
        <v>37</v>
      </c>
      <c r="J421" t="s">
        <v>37</v>
      </c>
      <c r="K421" t="s">
        <v>37</v>
      </c>
      <c r="L421" t="s">
        <v>37</v>
      </c>
      <c r="M421" s="6">
        <v>0.5</v>
      </c>
      <c r="N421" s="6">
        <v>0.16666666666666666</v>
      </c>
      <c r="O421" s="6">
        <v>0.33333333333333331</v>
      </c>
      <c r="P421" s="10">
        <v>75</v>
      </c>
      <c r="Q421" t="s">
        <v>37</v>
      </c>
      <c r="R421" t="s">
        <v>37</v>
      </c>
      <c r="S421" t="s">
        <v>37</v>
      </c>
      <c r="T421" t="s">
        <v>37</v>
      </c>
      <c r="U421" t="s">
        <v>37</v>
      </c>
      <c r="V421" s="6">
        <v>0.17647058823529413</v>
      </c>
      <c r="W421" s="6">
        <v>0.17647058823529413</v>
      </c>
      <c r="X421" s="6">
        <v>0.6470588235294118</v>
      </c>
      <c r="Y421" s="11">
        <f>VLOOKUP(G421,'[1]historico puntos 2022-2025'!$A$2:$G$19,7,0)</f>
        <v>64</v>
      </c>
      <c r="Z421" t="s">
        <v>38</v>
      </c>
      <c r="AA421">
        <f t="shared" si="20"/>
        <v>419</v>
      </c>
    </row>
    <row r="422" spans="1:27" hidden="1" x14ac:dyDescent="0.3">
      <c r="A422" t="str">
        <f t="shared" si="18"/>
        <v>2023-América</v>
      </c>
      <c r="B422" t="str">
        <f t="shared" si="19"/>
        <v>2023-Pumas</v>
      </c>
      <c r="C422">
        <v>2023</v>
      </c>
      <c r="D422" t="s">
        <v>14</v>
      </c>
      <c r="E422" s="2">
        <v>1</v>
      </c>
      <c r="F422" s="2">
        <v>0</v>
      </c>
      <c r="G422" t="s">
        <v>16</v>
      </c>
      <c r="H422">
        <v>84.2</v>
      </c>
      <c r="I422">
        <v>8.42</v>
      </c>
      <c r="J422">
        <v>25.26</v>
      </c>
      <c r="K422">
        <v>25.26</v>
      </c>
      <c r="L422">
        <v>25.26</v>
      </c>
      <c r="M422" s="6">
        <v>0.65217391304347827</v>
      </c>
      <c r="N422" s="6">
        <v>0.21739130434782608</v>
      </c>
      <c r="O422" s="6">
        <v>0.13043478260869565</v>
      </c>
      <c r="P422" s="10">
        <v>133</v>
      </c>
      <c r="Q422" t="s">
        <v>37</v>
      </c>
      <c r="R422" t="s">
        <v>37</v>
      </c>
      <c r="S422" t="s">
        <v>37</v>
      </c>
      <c r="T422" t="s">
        <v>37</v>
      </c>
      <c r="U422" t="s">
        <v>37</v>
      </c>
      <c r="V422" s="6">
        <v>0.3</v>
      </c>
      <c r="W422" s="6">
        <v>0.25</v>
      </c>
      <c r="X422" s="6">
        <v>0.45</v>
      </c>
      <c r="Y422" s="11">
        <f>VLOOKUP(G422,'[1]historico puntos 2022-2025'!$A$2:$G$19,7,0)</f>
        <v>75</v>
      </c>
      <c r="Z422" t="s">
        <v>38</v>
      </c>
      <c r="AA422">
        <f t="shared" si="20"/>
        <v>420</v>
      </c>
    </row>
    <row r="423" spans="1:27" hidden="1" x14ac:dyDescent="0.3">
      <c r="A423" t="str">
        <f t="shared" si="18"/>
        <v>2023-Puebla</v>
      </c>
      <c r="B423" t="str">
        <f t="shared" si="19"/>
        <v>2023-Pumas</v>
      </c>
      <c r="C423">
        <v>2023</v>
      </c>
      <c r="D423" t="s">
        <v>1</v>
      </c>
      <c r="E423" s="2">
        <v>0</v>
      </c>
      <c r="F423" s="2">
        <v>2</v>
      </c>
      <c r="G423" t="s">
        <v>16</v>
      </c>
      <c r="H423">
        <v>26.7</v>
      </c>
      <c r="I423">
        <v>2.67</v>
      </c>
      <c r="J423">
        <v>8.01</v>
      </c>
      <c r="K423">
        <v>8.01</v>
      </c>
      <c r="L423">
        <v>8.01</v>
      </c>
      <c r="M423" s="6">
        <v>0.23529411764705882</v>
      </c>
      <c r="N423" s="6">
        <v>0.11764705882352941</v>
      </c>
      <c r="O423" s="6">
        <v>0.6470588235294118</v>
      </c>
      <c r="P423" s="10">
        <v>34</v>
      </c>
      <c r="Q423" t="s">
        <v>37</v>
      </c>
      <c r="R423" t="s">
        <v>37</v>
      </c>
      <c r="S423" t="s">
        <v>37</v>
      </c>
      <c r="T423" t="s">
        <v>37</v>
      </c>
      <c r="U423" t="s">
        <v>37</v>
      </c>
      <c r="V423" s="6">
        <v>0.3</v>
      </c>
      <c r="W423" s="6">
        <v>0.25</v>
      </c>
      <c r="X423" s="6">
        <v>0.45</v>
      </c>
      <c r="Y423" s="11">
        <f>VLOOKUP(G423,'[1]historico puntos 2022-2025'!$A$2:$G$19,7,0)</f>
        <v>75</v>
      </c>
      <c r="Z423" t="s">
        <v>40</v>
      </c>
      <c r="AA423">
        <f t="shared" si="20"/>
        <v>421</v>
      </c>
    </row>
    <row r="424" spans="1:27" hidden="1" x14ac:dyDescent="0.3">
      <c r="A424" t="str">
        <f t="shared" si="18"/>
        <v>2023-Pumas</v>
      </c>
      <c r="B424" t="str">
        <f t="shared" si="19"/>
        <v>2023-Atlético San Luis</v>
      </c>
      <c r="C424">
        <v>2023</v>
      </c>
      <c r="D424" t="s">
        <v>16</v>
      </c>
      <c r="E424" s="2">
        <v>3</v>
      </c>
      <c r="F424" s="2">
        <v>2</v>
      </c>
      <c r="G424" t="s">
        <v>15</v>
      </c>
      <c r="H424" t="s">
        <v>37</v>
      </c>
      <c r="I424" t="s">
        <v>37</v>
      </c>
      <c r="J424" t="s">
        <v>37</v>
      </c>
      <c r="K424" t="s">
        <v>37</v>
      </c>
      <c r="L424" t="s">
        <v>37</v>
      </c>
      <c r="M424" s="6">
        <v>0.5</v>
      </c>
      <c r="N424" s="6">
        <v>0.16666666666666666</v>
      </c>
      <c r="O424" s="6">
        <v>0.33333333333333331</v>
      </c>
      <c r="P424" s="10">
        <v>75</v>
      </c>
      <c r="Q424">
        <v>35.85</v>
      </c>
      <c r="R424">
        <v>3.59</v>
      </c>
      <c r="S424">
        <v>10.77</v>
      </c>
      <c r="T424">
        <v>10.77</v>
      </c>
      <c r="U424">
        <v>10.77</v>
      </c>
      <c r="V424" s="6">
        <v>0.21052631578947367</v>
      </c>
      <c r="W424" s="6">
        <v>0.15789473684210525</v>
      </c>
      <c r="X424" s="6">
        <v>0.63157894736842102</v>
      </c>
      <c r="Y424" s="11">
        <f>VLOOKUP(G424,'[1]historico puntos 2022-2025'!$A$2:$G$19,7,0)</f>
        <v>59</v>
      </c>
      <c r="Z424" t="s">
        <v>38</v>
      </c>
      <c r="AA424">
        <f t="shared" si="20"/>
        <v>422</v>
      </c>
    </row>
    <row r="425" spans="1:27" hidden="1" x14ac:dyDescent="0.3">
      <c r="A425" t="str">
        <f t="shared" si="18"/>
        <v>2023-Santos Laguna</v>
      </c>
      <c r="B425" t="str">
        <f t="shared" si="19"/>
        <v>2023-Pumas</v>
      </c>
      <c r="C425">
        <v>2023</v>
      </c>
      <c r="D425" t="s">
        <v>11</v>
      </c>
      <c r="E425" s="2">
        <v>2</v>
      </c>
      <c r="F425" s="2">
        <v>1</v>
      </c>
      <c r="G425" t="s">
        <v>16</v>
      </c>
      <c r="H425">
        <v>46</v>
      </c>
      <c r="I425">
        <v>4.5999999999999996</v>
      </c>
      <c r="J425">
        <v>13.8</v>
      </c>
      <c r="K425">
        <v>13.8</v>
      </c>
      <c r="L425">
        <v>13.8</v>
      </c>
      <c r="M425" s="6">
        <v>0.23529411764705882</v>
      </c>
      <c r="N425" s="6">
        <v>0.17647058823529413</v>
      </c>
      <c r="O425" s="6">
        <v>0.58823529411764708</v>
      </c>
      <c r="P425" s="10">
        <v>46</v>
      </c>
      <c r="Q425" t="s">
        <v>37</v>
      </c>
      <c r="R425" t="s">
        <v>37</v>
      </c>
      <c r="S425" t="s">
        <v>37</v>
      </c>
      <c r="T425" t="s">
        <v>37</v>
      </c>
      <c r="U425" t="s">
        <v>37</v>
      </c>
      <c r="V425" s="6">
        <v>0.3</v>
      </c>
      <c r="W425" s="6">
        <v>0.25</v>
      </c>
      <c r="X425" s="6">
        <v>0.45</v>
      </c>
      <c r="Y425" s="11">
        <f>VLOOKUP(G425,'[1]historico puntos 2022-2025'!$A$2:$G$19,7,0)</f>
        <v>75</v>
      </c>
      <c r="Z425" t="s">
        <v>38</v>
      </c>
      <c r="AA425">
        <f t="shared" si="20"/>
        <v>423</v>
      </c>
    </row>
    <row r="426" spans="1:27" hidden="1" x14ac:dyDescent="0.3">
      <c r="A426" t="str">
        <f t="shared" si="18"/>
        <v>2023-Pumas</v>
      </c>
      <c r="B426" t="str">
        <f t="shared" si="19"/>
        <v>2023-Tigres</v>
      </c>
      <c r="C426">
        <v>2023</v>
      </c>
      <c r="D426" t="s">
        <v>16</v>
      </c>
      <c r="E426" s="2">
        <v>2</v>
      </c>
      <c r="F426" s="2">
        <v>1</v>
      </c>
      <c r="G426" t="s">
        <v>17</v>
      </c>
      <c r="H426" t="s">
        <v>37</v>
      </c>
      <c r="I426" t="s">
        <v>37</v>
      </c>
      <c r="J426" t="s">
        <v>37</v>
      </c>
      <c r="K426" t="s">
        <v>37</v>
      </c>
      <c r="L426" t="s">
        <v>37</v>
      </c>
      <c r="M426" s="6">
        <v>0.5</v>
      </c>
      <c r="N426" s="6">
        <v>0.16666666666666666</v>
      </c>
      <c r="O426" s="6">
        <v>0.33333333333333331</v>
      </c>
      <c r="P426" s="10">
        <v>75</v>
      </c>
      <c r="Q426" t="s">
        <v>37</v>
      </c>
      <c r="R426" t="s">
        <v>37</v>
      </c>
      <c r="S426" t="s">
        <v>37</v>
      </c>
      <c r="T426" t="s">
        <v>37</v>
      </c>
      <c r="U426" t="s">
        <v>37</v>
      </c>
      <c r="V426" s="6">
        <v>0.3</v>
      </c>
      <c r="W426" s="6">
        <v>0.3</v>
      </c>
      <c r="X426" s="6">
        <v>0.4</v>
      </c>
      <c r="Y426" s="11">
        <f>VLOOKUP(G426,'[1]historico puntos 2022-2025'!$A$2:$G$19,7,0)</f>
        <v>107</v>
      </c>
      <c r="Z426" t="s">
        <v>38</v>
      </c>
      <c r="AA426">
        <f t="shared" si="20"/>
        <v>424</v>
      </c>
    </row>
    <row r="427" spans="1:27" hidden="1" x14ac:dyDescent="0.3">
      <c r="A427" t="str">
        <f t="shared" si="18"/>
        <v>2023-Juarez</v>
      </c>
      <c r="B427" t="str">
        <f t="shared" si="19"/>
        <v>2023-Pumas</v>
      </c>
      <c r="C427">
        <v>2023</v>
      </c>
      <c r="D427" t="s">
        <v>18</v>
      </c>
      <c r="E427" s="2">
        <v>4</v>
      </c>
      <c r="F427" s="2">
        <v>1</v>
      </c>
      <c r="G427" t="s">
        <v>16</v>
      </c>
      <c r="H427" t="s">
        <v>37</v>
      </c>
      <c r="I427" t="s">
        <v>37</v>
      </c>
      <c r="J427" t="s">
        <v>37</v>
      </c>
      <c r="K427" t="s">
        <v>37</v>
      </c>
      <c r="L427" t="s">
        <v>37</v>
      </c>
      <c r="M427" s="6">
        <v>0.27777777777777779</v>
      </c>
      <c r="N427" s="6">
        <v>0.33333333333333331</v>
      </c>
      <c r="O427" s="6">
        <v>0.3888888888888889</v>
      </c>
      <c r="P427" s="10">
        <v>55</v>
      </c>
      <c r="Q427" t="s">
        <v>37</v>
      </c>
      <c r="R427" t="s">
        <v>37</v>
      </c>
      <c r="S427" t="s">
        <v>37</v>
      </c>
      <c r="T427" t="s">
        <v>37</v>
      </c>
      <c r="U427" t="s">
        <v>37</v>
      </c>
      <c r="V427" s="6">
        <v>0.3</v>
      </c>
      <c r="W427" s="6">
        <v>0.25</v>
      </c>
      <c r="X427" s="6">
        <v>0.45</v>
      </c>
      <c r="Y427" s="11">
        <f>VLOOKUP(G427,'[1]historico puntos 2022-2025'!$A$2:$G$19,7,0)</f>
        <v>75</v>
      </c>
      <c r="Z427" t="s">
        <v>38</v>
      </c>
      <c r="AA427">
        <f t="shared" si="20"/>
        <v>425</v>
      </c>
    </row>
    <row r="428" spans="1:27" hidden="1" x14ac:dyDescent="0.3">
      <c r="A428" t="str">
        <f t="shared" si="18"/>
        <v>2023-Pumas</v>
      </c>
      <c r="B428" t="str">
        <f t="shared" si="19"/>
        <v>2023-Toluca</v>
      </c>
      <c r="C428">
        <v>2023</v>
      </c>
      <c r="D428" t="s">
        <v>16</v>
      </c>
      <c r="E428" s="2">
        <v>1</v>
      </c>
      <c r="F428" s="2">
        <v>1</v>
      </c>
      <c r="G428" t="s">
        <v>2</v>
      </c>
      <c r="H428" t="s">
        <v>37</v>
      </c>
      <c r="I428" t="s">
        <v>37</v>
      </c>
      <c r="J428" t="s">
        <v>37</v>
      </c>
      <c r="K428" t="s">
        <v>37</v>
      </c>
      <c r="L428" t="s">
        <v>37</v>
      </c>
      <c r="M428" s="6">
        <v>0.5</v>
      </c>
      <c r="N428" s="6">
        <v>0.16666666666666666</v>
      </c>
      <c r="O428" s="6">
        <v>0.33333333333333331</v>
      </c>
      <c r="P428" s="10">
        <v>75</v>
      </c>
      <c r="Q428">
        <v>66.2</v>
      </c>
      <c r="R428">
        <v>6.62</v>
      </c>
      <c r="S428">
        <v>19.86</v>
      </c>
      <c r="T428">
        <v>19.86</v>
      </c>
      <c r="U428">
        <v>19.86</v>
      </c>
      <c r="V428" s="6">
        <v>0.38095238095238093</v>
      </c>
      <c r="W428" s="6">
        <v>0.33333333333333331</v>
      </c>
      <c r="X428" s="6">
        <v>0.2857142857142857</v>
      </c>
      <c r="Y428" s="11">
        <f>VLOOKUP(G428,'[1]historico puntos 2022-2025'!$A$2:$G$19,7,0)</f>
        <v>118</v>
      </c>
      <c r="Z428" t="s">
        <v>39</v>
      </c>
      <c r="AA428">
        <f t="shared" si="20"/>
        <v>426</v>
      </c>
    </row>
    <row r="429" spans="1:27" hidden="1" x14ac:dyDescent="0.3">
      <c r="A429" t="str">
        <f t="shared" si="18"/>
        <v>2023-Pachuca</v>
      </c>
      <c r="B429" t="str">
        <f t="shared" si="19"/>
        <v>2023-Pumas</v>
      </c>
      <c r="C429">
        <v>2023</v>
      </c>
      <c r="D429" t="s">
        <v>0</v>
      </c>
      <c r="E429" s="2">
        <v>1</v>
      </c>
      <c r="F429" s="2">
        <v>1</v>
      </c>
      <c r="G429" t="s">
        <v>16</v>
      </c>
      <c r="H429">
        <v>51.25</v>
      </c>
      <c r="I429">
        <v>5.13</v>
      </c>
      <c r="J429">
        <v>15.38</v>
      </c>
      <c r="K429">
        <v>15.38</v>
      </c>
      <c r="L429">
        <v>15.38</v>
      </c>
      <c r="M429" s="6">
        <v>0.3888888888888889</v>
      </c>
      <c r="N429" s="6">
        <v>0.33333333333333331</v>
      </c>
      <c r="O429" s="6">
        <v>0.27777777777777779</v>
      </c>
      <c r="P429" s="10">
        <v>98</v>
      </c>
      <c r="Q429" t="s">
        <v>37</v>
      </c>
      <c r="R429" t="s">
        <v>37</v>
      </c>
      <c r="S429" t="s">
        <v>37</v>
      </c>
      <c r="T429" t="s">
        <v>37</v>
      </c>
      <c r="U429" t="s">
        <v>37</v>
      </c>
      <c r="V429" s="6">
        <v>0.3</v>
      </c>
      <c r="W429" s="6">
        <v>0.25</v>
      </c>
      <c r="X429" s="6">
        <v>0.45</v>
      </c>
      <c r="Y429" s="11">
        <f>VLOOKUP(G429,'[1]historico puntos 2022-2025'!$A$2:$G$19,7,0)</f>
        <v>75</v>
      </c>
      <c r="Z429" t="s">
        <v>39</v>
      </c>
      <c r="AA429">
        <f t="shared" si="20"/>
        <v>427</v>
      </c>
    </row>
    <row r="430" spans="1:27" hidden="1" x14ac:dyDescent="0.3">
      <c r="A430" t="str">
        <f t="shared" si="18"/>
        <v>2023-Pumas</v>
      </c>
      <c r="B430" t="str">
        <f t="shared" si="19"/>
        <v>2023-Mazatlán</v>
      </c>
      <c r="C430">
        <v>2023</v>
      </c>
      <c r="D430" t="s">
        <v>16</v>
      </c>
      <c r="E430" s="2">
        <v>0</v>
      </c>
      <c r="F430" s="2">
        <v>0</v>
      </c>
      <c r="G430" t="s">
        <v>20</v>
      </c>
      <c r="H430" t="s">
        <v>37</v>
      </c>
      <c r="I430" t="s">
        <v>37</v>
      </c>
      <c r="J430" t="s">
        <v>37</v>
      </c>
      <c r="K430" t="s">
        <v>37</v>
      </c>
      <c r="L430" t="s">
        <v>37</v>
      </c>
      <c r="M430" s="6">
        <v>0.5</v>
      </c>
      <c r="N430" s="6">
        <v>0.16666666666666666</v>
      </c>
      <c r="O430" s="6">
        <v>0.33333333333333331</v>
      </c>
      <c r="P430" s="10">
        <v>75</v>
      </c>
      <c r="Q430">
        <v>35.049999999999997</v>
      </c>
      <c r="R430">
        <v>3.5</v>
      </c>
      <c r="S430">
        <v>10.51</v>
      </c>
      <c r="T430">
        <v>10.51</v>
      </c>
      <c r="U430">
        <v>10.51</v>
      </c>
      <c r="V430" s="6">
        <v>5.8823529411764705E-2</v>
      </c>
      <c r="W430" s="6">
        <v>0.29411764705882354</v>
      </c>
      <c r="X430" s="6">
        <v>0.6470588235294118</v>
      </c>
      <c r="Y430" s="11">
        <f>VLOOKUP(G430,'[1]historico puntos 2022-2025'!$A$2:$G$19,7,0)</f>
        <v>40</v>
      </c>
      <c r="Z430" t="s">
        <v>39</v>
      </c>
      <c r="AA430">
        <f t="shared" si="20"/>
        <v>428</v>
      </c>
    </row>
    <row r="431" spans="1:27" hidden="1" x14ac:dyDescent="0.3">
      <c r="A431" t="str">
        <f t="shared" si="18"/>
        <v>2023-Xolos</v>
      </c>
      <c r="B431" t="str">
        <f t="shared" si="19"/>
        <v>2023-Pumas</v>
      </c>
      <c r="C431">
        <v>2023</v>
      </c>
      <c r="D431" t="s">
        <v>19</v>
      </c>
      <c r="E431" s="2">
        <v>2</v>
      </c>
      <c r="F431" s="2">
        <v>3</v>
      </c>
      <c r="G431" t="s">
        <v>16</v>
      </c>
      <c r="H431">
        <v>38.299999999999997</v>
      </c>
      <c r="I431">
        <v>3.83</v>
      </c>
      <c r="J431">
        <v>11.49</v>
      </c>
      <c r="K431">
        <v>11.49</v>
      </c>
      <c r="L431">
        <v>11.49</v>
      </c>
      <c r="M431" s="6">
        <v>0.55000000000000004</v>
      </c>
      <c r="N431" s="6">
        <v>0.15</v>
      </c>
      <c r="O431" s="6">
        <v>0.3</v>
      </c>
      <c r="P431" s="10">
        <v>49</v>
      </c>
      <c r="Q431" t="s">
        <v>37</v>
      </c>
      <c r="R431" t="s">
        <v>37</v>
      </c>
      <c r="S431" t="s">
        <v>37</v>
      </c>
      <c r="T431" t="s">
        <v>37</v>
      </c>
      <c r="U431" t="s">
        <v>37</v>
      </c>
      <c r="V431" s="6">
        <v>0.3</v>
      </c>
      <c r="W431" s="6">
        <v>0.25</v>
      </c>
      <c r="X431" s="6">
        <v>0.45</v>
      </c>
      <c r="Y431" s="11">
        <f>VLOOKUP(G431,'[1]historico puntos 2022-2025'!$A$2:$G$19,7,0)</f>
        <v>75</v>
      </c>
      <c r="Z431" t="s">
        <v>40</v>
      </c>
      <c r="AA431">
        <f t="shared" si="20"/>
        <v>429</v>
      </c>
    </row>
    <row r="432" spans="1:27" hidden="1" x14ac:dyDescent="0.3">
      <c r="A432" t="str">
        <f t="shared" si="18"/>
        <v>2024-Necaxa</v>
      </c>
      <c r="B432" t="str">
        <f t="shared" si="19"/>
        <v>2024-Querétaro</v>
      </c>
      <c r="C432">
        <v>2024</v>
      </c>
      <c r="D432" t="s">
        <v>4</v>
      </c>
      <c r="E432" s="2">
        <v>1</v>
      </c>
      <c r="F432" s="2">
        <v>1</v>
      </c>
      <c r="G432" t="s">
        <v>22</v>
      </c>
      <c r="H432">
        <v>38.5</v>
      </c>
      <c r="I432">
        <v>3.85</v>
      </c>
      <c r="J432">
        <v>11.55</v>
      </c>
      <c r="K432">
        <v>11.55</v>
      </c>
      <c r="L432">
        <v>11.55</v>
      </c>
      <c r="M432" s="6">
        <v>0.44444444444444442</v>
      </c>
      <c r="N432" s="6">
        <v>0.22222222222222221</v>
      </c>
      <c r="O432" s="6">
        <v>0.33333333333333331</v>
      </c>
      <c r="P432" s="10">
        <v>77</v>
      </c>
      <c r="Q432" t="s">
        <v>37</v>
      </c>
      <c r="R432" t="s">
        <v>37</v>
      </c>
      <c r="S432" t="s">
        <v>37</v>
      </c>
      <c r="T432" t="s">
        <v>37</v>
      </c>
      <c r="U432" t="s">
        <v>37</v>
      </c>
      <c r="V432" s="6">
        <v>0.17647058823529413</v>
      </c>
      <c r="W432" s="6">
        <v>0.17647058823529413</v>
      </c>
      <c r="X432" s="6">
        <v>0.6470588235294118</v>
      </c>
      <c r="Y432" s="11">
        <f>VLOOKUP(G432,'[1]historico puntos 2022-2025'!$A$2:$G$19,7,0)</f>
        <v>64</v>
      </c>
      <c r="Z432" t="s">
        <v>39</v>
      </c>
      <c r="AA432">
        <f t="shared" si="20"/>
        <v>430</v>
      </c>
    </row>
    <row r="433" spans="1:27" hidden="1" x14ac:dyDescent="0.3">
      <c r="A433" t="str">
        <f t="shared" si="18"/>
        <v>2024-Querétaro</v>
      </c>
      <c r="B433" t="str">
        <f t="shared" si="19"/>
        <v>2024-Pumas</v>
      </c>
      <c r="C433">
        <v>2024</v>
      </c>
      <c r="D433" t="s">
        <v>22</v>
      </c>
      <c r="E433" s="2">
        <v>1</v>
      </c>
      <c r="F433" s="2">
        <v>1</v>
      </c>
      <c r="G433" t="s">
        <v>16</v>
      </c>
      <c r="H433">
        <v>17.8</v>
      </c>
      <c r="I433">
        <v>1.78</v>
      </c>
      <c r="J433">
        <v>5.34</v>
      </c>
      <c r="K433">
        <v>5.34</v>
      </c>
      <c r="L433">
        <v>5.34</v>
      </c>
      <c r="M433" s="6">
        <v>0.35294117647058826</v>
      </c>
      <c r="N433" s="6">
        <v>0.11764705882352941</v>
      </c>
      <c r="O433" s="6">
        <v>0.52941176470588236</v>
      </c>
      <c r="P433" s="10">
        <v>64</v>
      </c>
      <c r="Q433">
        <v>47.6</v>
      </c>
      <c r="R433">
        <v>4.76</v>
      </c>
      <c r="S433">
        <v>14.28</v>
      </c>
      <c r="T433">
        <v>14.28</v>
      </c>
      <c r="U433">
        <v>14.28</v>
      </c>
      <c r="V433" s="6">
        <v>0.3</v>
      </c>
      <c r="W433" s="6">
        <v>0.25</v>
      </c>
      <c r="X433" s="6">
        <v>0.45</v>
      </c>
      <c r="Y433" s="11">
        <f>VLOOKUP(G433,'[1]historico puntos 2022-2025'!$A$2:$G$19,7,0)</f>
        <v>75</v>
      </c>
      <c r="Z433" t="s">
        <v>39</v>
      </c>
      <c r="AA433">
        <f t="shared" si="20"/>
        <v>431</v>
      </c>
    </row>
    <row r="434" spans="1:27" hidden="1" x14ac:dyDescent="0.3">
      <c r="A434" t="str">
        <f t="shared" si="18"/>
        <v>2024-Chivas</v>
      </c>
      <c r="B434" t="str">
        <f t="shared" si="19"/>
        <v>2024-Querétaro</v>
      </c>
      <c r="C434">
        <v>2024</v>
      </c>
      <c r="D434" t="s">
        <v>21</v>
      </c>
      <c r="E434" s="2">
        <v>2</v>
      </c>
      <c r="F434" s="2">
        <v>0</v>
      </c>
      <c r="G434" t="s">
        <v>22</v>
      </c>
      <c r="H434">
        <v>70.2</v>
      </c>
      <c r="I434">
        <v>7.02</v>
      </c>
      <c r="J434">
        <v>21.06</v>
      </c>
      <c r="K434">
        <v>21.06</v>
      </c>
      <c r="L434">
        <v>21.06</v>
      </c>
      <c r="M434" s="6">
        <v>0.44444444444444442</v>
      </c>
      <c r="N434" s="6">
        <v>0.33333333333333331</v>
      </c>
      <c r="O434" s="6">
        <v>0.22222222222222221</v>
      </c>
      <c r="P434" s="10">
        <v>99</v>
      </c>
      <c r="Q434" t="s">
        <v>37</v>
      </c>
      <c r="R434" t="s">
        <v>37</v>
      </c>
      <c r="S434" t="s">
        <v>37</v>
      </c>
      <c r="T434" t="s">
        <v>37</v>
      </c>
      <c r="U434" t="s">
        <v>37</v>
      </c>
      <c r="V434" s="6">
        <v>0.17647058823529413</v>
      </c>
      <c r="W434" s="6">
        <v>0.17647058823529413</v>
      </c>
      <c r="X434" s="6">
        <v>0.6470588235294118</v>
      </c>
      <c r="Y434" s="11">
        <f>VLOOKUP(G434,'[1]historico puntos 2022-2025'!$A$2:$G$19,7,0)</f>
        <v>64</v>
      </c>
      <c r="Z434" t="s">
        <v>38</v>
      </c>
      <c r="AA434">
        <f t="shared" si="20"/>
        <v>432</v>
      </c>
    </row>
    <row r="435" spans="1:27" hidden="1" x14ac:dyDescent="0.3">
      <c r="A435" t="str">
        <f t="shared" si="18"/>
        <v>2024-León</v>
      </c>
      <c r="B435" t="str">
        <f t="shared" si="19"/>
        <v>2024-Querétaro</v>
      </c>
      <c r="C435">
        <v>2024</v>
      </c>
      <c r="D435" t="s">
        <v>36</v>
      </c>
      <c r="E435" s="2">
        <v>0</v>
      </c>
      <c r="F435" s="2">
        <v>2</v>
      </c>
      <c r="G435" t="s">
        <v>22</v>
      </c>
      <c r="H435">
        <v>29.55</v>
      </c>
      <c r="I435">
        <v>2.96</v>
      </c>
      <c r="J435">
        <v>8.8699999999999992</v>
      </c>
      <c r="K435">
        <v>8.8699999999999992</v>
      </c>
      <c r="L435">
        <v>8.8699999999999992</v>
      </c>
      <c r="M435" s="6">
        <v>0.3888888888888889</v>
      </c>
      <c r="N435" s="6">
        <v>0.3888888888888889</v>
      </c>
      <c r="O435" s="6">
        <v>0.22222222222222221</v>
      </c>
      <c r="P435" s="10">
        <v>87</v>
      </c>
      <c r="Q435" t="s">
        <v>37</v>
      </c>
      <c r="R435" t="s">
        <v>37</v>
      </c>
      <c r="S435" t="s">
        <v>37</v>
      </c>
      <c r="T435" t="s">
        <v>37</v>
      </c>
      <c r="U435" t="s">
        <v>37</v>
      </c>
      <c r="V435" s="6">
        <v>0.17647058823529413</v>
      </c>
      <c r="W435" s="6">
        <v>0.17647058823529413</v>
      </c>
      <c r="X435" s="6">
        <v>0.6470588235294118</v>
      </c>
      <c r="Y435" s="11">
        <f>VLOOKUP(G435,'[1]historico puntos 2022-2025'!$A$2:$G$19,7,0)</f>
        <v>64</v>
      </c>
      <c r="Z435" t="s">
        <v>40</v>
      </c>
      <c r="AA435">
        <f t="shared" si="20"/>
        <v>433</v>
      </c>
    </row>
    <row r="436" spans="1:27" hidden="1" x14ac:dyDescent="0.3">
      <c r="A436" t="str">
        <f t="shared" si="18"/>
        <v>2024-Pachuca</v>
      </c>
      <c r="B436" t="str">
        <f t="shared" si="19"/>
        <v>2024-Querétaro</v>
      </c>
      <c r="C436">
        <v>2024</v>
      </c>
      <c r="D436" t="s">
        <v>0</v>
      </c>
      <c r="E436" s="2">
        <v>1</v>
      </c>
      <c r="F436" s="2">
        <v>2</v>
      </c>
      <c r="G436" t="s">
        <v>22</v>
      </c>
      <c r="H436">
        <v>56.6</v>
      </c>
      <c r="I436">
        <v>5.66</v>
      </c>
      <c r="J436">
        <v>16.98</v>
      </c>
      <c r="K436">
        <v>16.98</v>
      </c>
      <c r="L436">
        <v>16.98</v>
      </c>
      <c r="M436" s="6">
        <v>0.3888888888888889</v>
      </c>
      <c r="N436" s="6">
        <v>0.33333333333333331</v>
      </c>
      <c r="O436" s="6">
        <v>0.27777777777777779</v>
      </c>
      <c r="P436" s="10">
        <v>98</v>
      </c>
      <c r="Q436" t="s">
        <v>37</v>
      </c>
      <c r="R436" t="s">
        <v>37</v>
      </c>
      <c r="S436" t="s">
        <v>37</v>
      </c>
      <c r="T436" t="s">
        <v>37</v>
      </c>
      <c r="U436" t="s">
        <v>37</v>
      </c>
      <c r="V436" s="6">
        <v>0.17647058823529413</v>
      </c>
      <c r="W436" s="6">
        <v>0.17647058823529413</v>
      </c>
      <c r="X436" s="6">
        <v>0.6470588235294118</v>
      </c>
      <c r="Y436" s="11">
        <f>VLOOKUP(G436,'[1]historico puntos 2022-2025'!$A$2:$G$19,7,0)</f>
        <v>64</v>
      </c>
      <c r="Z436" t="s">
        <v>40</v>
      </c>
      <c r="AA436">
        <f t="shared" si="20"/>
        <v>434</v>
      </c>
    </row>
    <row r="437" spans="1:27" hidden="1" x14ac:dyDescent="0.3">
      <c r="A437" t="str">
        <f t="shared" si="18"/>
        <v>2024-Querétaro</v>
      </c>
      <c r="B437" t="str">
        <f t="shared" si="19"/>
        <v>2024-Santos Laguna</v>
      </c>
      <c r="C437">
        <v>2024</v>
      </c>
      <c r="D437" t="s">
        <v>22</v>
      </c>
      <c r="E437" s="2">
        <v>0</v>
      </c>
      <c r="F437" s="2">
        <v>1</v>
      </c>
      <c r="G437" t="s">
        <v>11</v>
      </c>
      <c r="H437">
        <v>17.8</v>
      </c>
      <c r="I437">
        <v>1.78</v>
      </c>
      <c r="J437">
        <v>5.34</v>
      </c>
      <c r="K437">
        <v>5.34</v>
      </c>
      <c r="L437">
        <v>5.34</v>
      </c>
      <c r="M437" s="6">
        <v>0.35294117647058826</v>
      </c>
      <c r="N437" s="6">
        <v>0.11764705882352941</v>
      </c>
      <c r="O437" s="6">
        <v>0.52941176470588236</v>
      </c>
      <c r="P437" s="10">
        <v>64</v>
      </c>
      <c r="Q437" t="s">
        <v>37</v>
      </c>
      <c r="R437" t="s">
        <v>37</v>
      </c>
      <c r="S437" t="s">
        <v>37</v>
      </c>
      <c r="T437" t="s">
        <v>37</v>
      </c>
      <c r="U437" t="s">
        <v>37</v>
      </c>
      <c r="V437" s="6">
        <v>0</v>
      </c>
      <c r="W437" s="6">
        <v>0.11764705882352941</v>
      </c>
      <c r="X437" s="6">
        <v>0.88235294117647056</v>
      </c>
      <c r="Y437" s="11">
        <f>VLOOKUP(G437,'[1]historico puntos 2022-2025'!$A$2:$G$19,7,0)</f>
        <v>46</v>
      </c>
      <c r="Z437" t="s">
        <v>40</v>
      </c>
      <c r="AA437">
        <f t="shared" si="20"/>
        <v>435</v>
      </c>
    </row>
    <row r="438" spans="1:27" hidden="1" x14ac:dyDescent="0.3">
      <c r="A438" t="str">
        <f t="shared" si="18"/>
        <v>2024-Querétaro</v>
      </c>
      <c r="B438" t="str">
        <f t="shared" si="19"/>
        <v>2024-Atlético San Luis</v>
      </c>
      <c r="C438">
        <v>2024</v>
      </c>
      <c r="D438" t="s">
        <v>22</v>
      </c>
      <c r="E438" s="2">
        <v>4</v>
      </c>
      <c r="F438" s="2">
        <v>1</v>
      </c>
      <c r="G438" t="s">
        <v>15</v>
      </c>
      <c r="H438">
        <v>17.8</v>
      </c>
      <c r="I438">
        <v>1.78</v>
      </c>
      <c r="J438">
        <v>5.34</v>
      </c>
      <c r="K438">
        <v>5.34</v>
      </c>
      <c r="L438">
        <v>5.34</v>
      </c>
      <c r="M438" s="6">
        <v>0.35294117647058826</v>
      </c>
      <c r="N438" s="6">
        <v>0.11764705882352941</v>
      </c>
      <c r="O438" s="6">
        <v>0.52941176470588236</v>
      </c>
      <c r="P438" s="10">
        <v>64</v>
      </c>
      <c r="Q438">
        <v>45.95</v>
      </c>
      <c r="R438">
        <v>4.5999999999999996</v>
      </c>
      <c r="S438">
        <v>13.84</v>
      </c>
      <c r="T438">
        <v>13.84</v>
      </c>
      <c r="U438">
        <v>13.84</v>
      </c>
      <c r="V438" s="6">
        <v>0.21052631578947367</v>
      </c>
      <c r="W438" s="6">
        <v>0.15789473684210525</v>
      </c>
      <c r="X438" s="6">
        <v>0.63157894736842102</v>
      </c>
      <c r="Y438" s="11">
        <f>VLOOKUP(G438,'[1]historico puntos 2022-2025'!$A$2:$G$19,7,0)</f>
        <v>59</v>
      </c>
      <c r="Z438" t="s">
        <v>38</v>
      </c>
      <c r="AA438">
        <f t="shared" si="20"/>
        <v>436</v>
      </c>
    </row>
    <row r="439" spans="1:27" hidden="1" x14ac:dyDescent="0.3">
      <c r="A439" t="str">
        <f t="shared" si="18"/>
        <v>2024-Puebla</v>
      </c>
      <c r="B439" t="str">
        <f t="shared" si="19"/>
        <v>2024-Querétaro</v>
      </c>
      <c r="C439">
        <v>2024</v>
      </c>
      <c r="D439" t="s">
        <v>1</v>
      </c>
      <c r="E439" s="2">
        <v>0</v>
      </c>
      <c r="F439" s="2">
        <v>2</v>
      </c>
      <c r="G439" t="s">
        <v>22</v>
      </c>
      <c r="H439">
        <v>24.1</v>
      </c>
      <c r="I439">
        <v>2.41</v>
      </c>
      <c r="J439">
        <v>7.23</v>
      </c>
      <c r="K439">
        <v>7.23</v>
      </c>
      <c r="L439">
        <v>7.23</v>
      </c>
      <c r="M439" s="6">
        <v>0.23529411764705882</v>
      </c>
      <c r="N439" s="6">
        <v>0.11764705882352941</v>
      </c>
      <c r="O439" s="6">
        <v>0.6470588235294118</v>
      </c>
      <c r="P439" s="10">
        <v>34</v>
      </c>
      <c r="Q439" t="s">
        <v>37</v>
      </c>
      <c r="R439" t="s">
        <v>37</v>
      </c>
      <c r="S439" t="s">
        <v>37</v>
      </c>
      <c r="T439" t="s">
        <v>37</v>
      </c>
      <c r="U439" t="s">
        <v>37</v>
      </c>
      <c r="V439" s="6">
        <v>0.17647058823529413</v>
      </c>
      <c r="W439" s="6">
        <v>0.17647058823529413</v>
      </c>
      <c r="X439" s="6">
        <v>0.6470588235294118</v>
      </c>
      <c r="Y439" s="11">
        <f>VLOOKUP(G439,'[1]historico puntos 2022-2025'!$A$2:$G$19,7,0)</f>
        <v>64</v>
      </c>
      <c r="Z439" t="s">
        <v>40</v>
      </c>
      <c r="AA439">
        <f t="shared" si="20"/>
        <v>437</v>
      </c>
    </row>
    <row r="440" spans="1:27" hidden="1" x14ac:dyDescent="0.3">
      <c r="A440" t="str">
        <f t="shared" si="18"/>
        <v>2024-Xolos</v>
      </c>
      <c r="B440" t="str">
        <f t="shared" si="19"/>
        <v>2024-Querétaro</v>
      </c>
      <c r="C440">
        <v>2024</v>
      </c>
      <c r="D440" t="s">
        <v>19</v>
      </c>
      <c r="E440" s="2">
        <v>1</v>
      </c>
      <c r="F440" s="2">
        <v>1</v>
      </c>
      <c r="G440" t="s">
        <v>22</v>
      </c>
      <c r="H440" t="s">
        <v>37</v>
      </c>
      <c r="I440" t="s">
        <v>37</v>
      </c>
      <c r="J440" t="s">
        <v>37</v>
      </c>
      <c r="K440" t="s">
        <v>37</v>
      </c>
      <c r="L440" t="s">
        <v>37</v>
      </c>
      <c r="M440" s="6">
        <v>0.55000000000000004</v>
      </c>
      <c r="N440" s="6">
        <v>0.15</v>
      </c>
      <c r="O440" s="6">
        <v>0.3</v>
      </c>
      <c r="P440" s="10">
        <v>49</v>
      </c>
      <c r="Q440" t="s">
        <v>37</v>
      </c>
      <c r="R440" t="s">
        <v>37</v>
      </c>
      <c r="S440" t="s">
        <v>37</v>
      </c>
      <c r="T440" t="s">
        <v>37</v>
      </c>
      <c r="U440" t="s">
        <v>37</v>
      </c>
      <c r="V440" s="6">
        <v>0.17647058823529413</v>
      </c>
      <c r="W440" s="6">
        <v>0.17647058823529413</v>
      </c>
      <c r="X440" s="6">
        <v>0.6470588235294118</v>
      </c>
      <c r="Y440" s="11">
        <f>VLOOKUP(G440,'[1]historico puntos 2022-2025'!$A$2:$G$19,7,0)</f>
        <v>64</v>
      </c>
      <c r="Z440" t="s">
        <v>39</v>
      </c>
      <c r="AA440">
        <f t="shared" si="20"/>
        <v>438</v>
      </c>
    </row>
    <row r="441" spans="1:27" hidden="1" x14ac:dyDescent="0.3">
      <c r="A441" t="str">
        <f t="shared" si="18"/>
        <v>2024-Querétaro</v>
      </c>
      <c r="B441" t="str">
        <f t="shared" si="19"/>
        <v>2024-Cruz Azul</v>
      </c>
      <c r="C441">
        <v>2024</v>
      </c>
      <c r="D441" t="s">
        <v>22</v>
      </c>
      <c r="E441" s="2">
        <v>1</v>
      </c>
      <c r="F441" s="2">
        <v>3</v>
      </c>
      <c r="G441" t="s">
        <v>10</v>
      </c>
      <c r="H441">
        <v>17.8</v>
      </c>
      <c r="I441">
        <v>1.78</v>
      </c>
      <c r="J441">
        <v>5.34</v>
      </c>
      <c r="K441">
        <v>5.34</v>
      </c>
      <c r="L441">
        <v>5.34</v>
      </c>
      <c r="M441" s="6">
        <v>0.35294117647058826</v>
      </c>
      <c r="N441" s="6">
        <v>0.11764705882352941</v>
      </c>
      <c r="O441" s="6">
        <v>0.52941176470588236</v>
      </c>
      <c r="P441" s="10">
        <v>64</v>
      </c>
      <c r="Q441">
        <v>78.849999999999994</v>
      </c>
      <c r="R441">
        <v>7.89</v>
      </c>
      <c r="S441">
        <v>23.66</v>
      </c>
      <c r="T441">
        <v>23.66</v>
      </c>
      <c r="U441">
        <v>23.66</v>
      </c>
      <c r="V441" s="6">
        <v>0.52380952380952384</v>
      </c>
      <c r="W441" s="6">
        <v>0.23809523809523808</v>
      </c>
      <c r="X441" s="6">
        <v>0.23809523809523808</v>
      </c>
      <c r="Y441" s="11">
        <f>VLOOKUP(G441,'[1]historico puntos 2022-2025'!$A$2:$G$19,7,0)</f>
        <v>107</v>
      </c>
      <c r="Z441" t="s">
        <v>40</v>
      </c>
      <c r="AA441">
        <f t="shared" si="20"/>
        <v>439</v>
      </c>
    </row>
    <row r="442" spans="1:27" hidden="1" x14ac:dyDescent="0.3">
      <c r="A442" t="str">
        <f t="shared" si="18"/>
        <v>2024-Monterrey</v>
      </c>
      <c r="B442" t="str">
        <f t="shared" si="19"/>
        <v>2024-Querétaro</v>
      </c>
      <c r="C442">
        <v>2024</v>
      </c>
      <c r="D442" t="s">
        <v>3</v>
      </c>
      <c r="E442" s="2">
        <v>1</v>
      </c>
      <c r="F442" s="2">
        <v>1</v>
      </c>
      <c r="G442" t="s">
        <v>22</v>
      </c>
      <c r="H442">
        <v>88.6</v>
      </c>
      <c r="I442">
        <v>8.86</v>
      </c>
      <c r="J442">
        <v>26.58</v>
      </c>
      <c r="K442">
        <v>26.58</v>
      </c>
      <c r="L442">
        <v>26.58</v>
      </c>
      <c r="M442" s="6">
        <v>0.60869565217391308</v>
      </c>
      <c r="N442" s="6">
        <v>0.17391304347826086</v>
      </c>
      <c r="O442" s="6">
        <v>0.21739130434782608</v>
      </c>
      <c r="P442" s="10">
        <v>118</v>
      </c>
      <c r="Q442" t="s">
        <v>37</v>
      </c>
      <c r="R442" t="s">
        <v>37</v>
      </c>
      <c r="S442" t="s">
        <v>37</v>
      </c>
      <c r="T442" t="s">
        <v>37</v>
      </c>
      <c r="U442" t="s">
        <v>37</v>
      </c>
      <c r="V442" s="6">
        <v>0.17647058823529413</v>
      </c>
      <c r="W442" s="6">
        <v>0.17647058823529413</v>
      </c>
      <c r="X442" s="6">
        <v>0.6470588235294118</v>
      </c>
      <c r="Y442" s="11">
        <f>VLOOKUP(G442,'[1]historico puntos 2022-2025'!$A$2:$G$19,7,0)</f>
        <v>64</v>
      </c>
      <c r="Z442" t="s">
        <v>39</v>
      </c>
      <c r="AA442">
        <f t="shared" si="20"/>
        <v>440</v>
      </c>
    </row>
    <row r="443" spans="1:27" hidden="1" x14ac:dyDescent="0.3">
      <c r="A443" t="str">
        <f t="shared" si="18"/>
        <v>2024-América</v>
      </c>
      <c r="B443" t="str">
        <f t="shared" si="19"/>
        <v>2024-Querétaro</v>
      </c>
      <c r="C443">
        <v>2024</v>
      </c>
      <c r="D443" t="s">
        <v>14</v>
      </c>
      <c r="E443" s="2">
        <v>2</v>
      </c>
      <c r="F443" s="2">
        <v>0</v>
      </c>
      <c r="G443" t="s">
        <v>22</v>
      </c>
      <c r="H443">
        <v>92.45</v>
      </c>
      <c r="I443">
        <v>9.25</v>
      </c>
      <c r="J443">
        <v>27.73</v>
      </c>
      <c r="K443">
        <v>27.73</v>
      </c>
      <c r="L443">
        <v>27.73</v>
      </c>
      <c r="M443" s="6">
        <v>0.65217391304347827</v>
      </c>
      <c r="N443" s="6">
        <v>0.21739130434782608</v>
      </c>
      <c r="O443" s="6">
        <v>0.13043478260869565</v>
      </c>
      <c r="P443" s="10">
        <v>133</v>
      </c>
      <c r="Q443" t="s">
        <v>37</v>
      </c>
      <c r="R443" t="s">
        <v>37</v>
      </c>
      <c r="S443" t="s">
        <v>37</v>
      </c>
      <c r="T443" t="s">
        <v>37</v>
      </c>
      <c r="U443" t="s">
        <v>37</v>
      </c>
      <c r="V443" s="6">
        <v>0.17647058823529413</v>
      </c>
      <c r="W443" s="6">
        <v>0.17647058823529413</v>
      </c>
      <c r="X443" s="6">
        <v>0.6470588235294118</v>
      </c>
      <c r="Y443" s="11">
        <f>VLOOKUP(G443,'[1]historico puntos 2022-2025'!$A$2:$G$19,7,0)</f>
        <v>64</v>
      </c>
      <c r="Z443" t="s">
        <v>38</v>
      </c>
      <c r="AA443">
        <f t="shared" si="20"/>
        <v>441</v>
      </c>
    </row>
    <row r="444" spans="1:27" hidden="1" x14ac:dyDescent="0.3">
      <c r="A444" t="str">
        <f t="shared" si="18"/>
        <v>2024-Querétaro</v>
      </c>
      <c r="B444" t="str">
        <f t="shared" si="19"/>
        <v>2024-Toluca</v>
      </c>
      <c r="C444">
        <v>2024</v>
      </c>
      <c r="D444" t="s">
        <v>22</v>
      </c>
      <c r="E444" s="2">
        <v>2</v>
      </c>
      <c r="F444" s="2">
        <v>2</v>
      </c>
      <c r="G444" t="s">
        <v>2</v>
      </c>
      <c r="H444">
        <v>17.8</v>
      </c>
      <c r="I444">
        <v>1.78</v>
      </c>
      <c r="J444">
        <v>5.34</v>
      </c>
      <c r="K444">
        <v>5.34</v>
      </c>
      <c r="L444">
        <v>5.34</v>
      </c>
      <c r="M444" s="6">
        <v>0.35294117647058826</v>
      </c>
      <c r="N444" s="6">
        <v>0.11764705882352941</v>
      </c>
      <c r="O444" s="6">
        <v>0.52941176470588236</v>
      </c>
      <c r="P444" s="10">
        <v>64</v>
      </c>
      <c r="Q444">
        <v>77.45</v>
      </c>
      <c r="R444">
        <v>7.75</v>
      </c>
      <c r="S444">
        <v>23.24</v>
      </c>
      <c r="T444">
        <v>23.24</v>
      </c>
      <c r="U444">
        <v>23.24</v>
      </c>
      <c r="V444" s="6">
        <v>0.38095238095238093</v>
      </c>
      <c r="W444" s="6">
        <v>0.33333333333333331</v>
      </c>
      <c r="X444" s="6">
        <v>0.2857142857142857</v>
      </c>
      <c r="Y444" s="11">
        <f>VLOOKUP(G444,'[1]historico puntos 2022-2025'!$A$2:$G$19,7,0)</f>
        <v>118</v>
      </c>
      <c r="Z444" t="s">
        <v>39</v>
      </c>
      <c r="AA444">
        <f t="shared" si="20"/>
        <v>442</v>
      </c>
    </row>
    <row r="445" spans="1:27" hidden="1" x14ac:dyDescent="0.3">
      <c r="A445" t="str">
        <f t="shared" si="18"/>
        <v>2023-Querétaro</v>
      </c>
      <c r="B445" t="str">
        <f t="shared" si="19"/>
        <v>2023-Monterrey</v>
      </c>
      <c r="C445">
        <v>2023</v>
      </c>
      <c r="D445" t="s">
        <v>22</v>
      </c>
      <c r="E445" s="2">
        <v>0</v>
      </c>
      <c r="F445" s="2">
        <v>0</v>
      </c>
      <c r="G445" t="s">
        <v>3</v>
      </c>
      <c r="H445">
        <v>21.45</v>
      </c>
      <c r="I445">
        <v>2.14</v>
      </c>
      <c r="J445">
        <v>6.44</v>
      </c>
      <c r="K445">
        <v>6.44</v>
      </c>
      <c r="L445">
        <v>6.44</v>
      </c>
      <c r="M445" s="6">
        <v>0.35294117647058826</v>
      </c>
      <c r="N445" s="6">
        <v>0.11764705882352941</v>
      </c>
      <c r="O445" s="6">
        <v>0.52941176470588236</v>
      </c>
      <c r="P445" s="10">
        <v>64</v>
      </c>
      <c r="Q445">
        <v>88.1</v>
      </c>
      <c r="R445">
        <v>8.81</v>
      </c>
      <c r="S445">
        <v>26.43</v>
      </c>
      <c r="T445">
        <v>26.43</v>
      </c>
      <c r="U445">
        <v>26.43</v>
      </c>
      <c r="V445" s="6">
        <v>0.38095238095238093</v>
      </c>
      <c r="W445" s="6">
        <v>0.23809523809523808</v>
      </c>
      <c r="X445" s="6">
        <v>0.38095238095238093</v>
      </c>
      <c r="Y445" s="11">
        <f>VLOOKUP(G445,'[1]historico puntos 2022-2025'!$A$2:$G$19,7,0)</f>
        <v>118</v>
      </c>
      <c r="Z445" t="s">
        <v>39</v>
      </c>
      <c r="AA445">
        <f t="shared" si="20"/>
        <v>443</v>
      </c>
    </row>
    <row r="446" spans="1:27" hidden="1" x14ac:dyDescent="0.3">
      <c r="A446" t="str">
        <f t="shared" si="18"/>
        <v>2023-Querétaro</v>
      </c>
      <c r="B446" t="str">
        <f t="shared" si="19"/>
        <v>2023-Chivas</v>
      </c>
      <c r="C446">
        <v>2023</v>
      </c>
      <c r="D446" t="s">
        <v>22</v>
      </c>
      <c r="E446" s="2">
        <v>1</v>
      </c>
      <c r="F446" s="2">
        <v>2</v>
      </c>
      <c r="G446" t="s">
        <v>21</v>
      </c>
      <c r="H446">
        <v>21.45</v>
      </c>
      <c r="I446">
        <v>2.14</v>
      </c>
      <c r="J446">
        <v>6.44</v>
      </c>
      <c r="K446">
        <v>6.44</v>
      </c>
      <c r="L446">
        <v>6.44</v>
      </c>
      <c r="M446" s="6">
        <v>0.35294117647058826</v>
      </c>
      <c r="N446" s="6">
        <v>0.11764705882352941</v>
      </c>
      <c r="O446" s="6">
        <v>0.52941176470588236</v>
      </c>
      <c r="P446" s="10">
        <v>64</v>
      </c>
      <c r="Q446" t="s">
        <v>37</v>
      </c>
      <c r="R446" t="s">
        <v>37</v>
      </c>
      <c r="S446" t="s">
        <v>37</v>
      </c>
      <c r="T446" t="s">
        <v>37</v>
      </c>
      <c r="U446" t="s">
        <v>37</v>
      </c>
      <c r="V446" s="6">
        <v>0.23529411764705882</v>
      </c>
      <c r="W446" s="6">
        <v>0.23529411764705882</v>
      </c>
      <c r="X446" s="6">
        <v>0.52941176470588236</v>
      </c>
      <c r="Y446" s="11">
        <f>VLOOKUP(G446,'[1]historico puntos 2022-2025'!$A$2:$G$19,7,0)</f>
        <v>99</v>
      </c>
      <c r="Z446" t="s">
        <v>40</v>
      </c>
      <c r="AA446">
        <f t="shared" si="20"/>
        <v>444</v>
      </c>
    </row>
    <row r="447" spans="1:27" hidden="1" x14ac:dyDescent="0.3">
      <c r="A447" t="str">
        <f t="shared" si="18"/>
        <v>2023-Mazatlán</v>
      </c>
      <c r="B447" t="str">
        <f t="shared" si="19"/>
        <v>2023-Querétaro</v>
      </c>
      <c r="C447">
        <v>2023</v>
      </c>
      <c r="D447" t="s">
        <v>20</v>
      </c>
      <c r="E447" s="2">
        <v>3</v>
      </c>
      <c r="F447" s="2">
        <v>0</v>
      </c>
      <c r="G447" t="s">
        <v>22</v>
      </c>
      <c r="H447">
        <v>35.049999999999997</v>
      </c>
      <c r="I447">
        <v>3.5</v>
      </c>
      <c r="J447">
        <v>10.51</v>
      </c>
      <c r="K447">
        <v>10.51</v>
      </c>
      <c r="L447">
        <v>10.51</v>
      </c>
      <c r="M447" s="6">
        <v>0.29411764705882354</v>
      </c>
      <c r="N447" s="6">
        <v>0.47058823529411764</v>
      </c>
      <c r="O447" s="6">
        <v>0.23529411764705882</v>
      </c>
      <c r="P447" s="10">
        <v>40</v>
      </c>
      <c r="Q447" t="s">
        <v>37</v>
      </c>
      <c r="R447" t="s">
        <v>37</v>
      </c>
      <c r="S447" t="s">
        <v>37</v>
      </c>
      <c r="T447" t="s">
        <v>37</v>
      </c>
      <c r="U447" t="s">
        <v>37</v>
      </c>
      <c r="V447" s="6">
        <v>0.17647058823529413</v>
      </c>
      <c r="W447" s="6">
        <v>0.17647058823529413</v>
      </c>
      <c r="X447" s="6">
        <v>0.6470588235294118</v>
      </c>
      <c r="Y447" s="11">
        <f>VLOOKUP(G447,'[1]historico puntos 2022-2025'!$A$2:$G$19,7,0)</f>
        <v>64</v>
      </c>
      <c r="Z447" t="s">
        <v>38</v>
      </c>
      <c r="AA447">
        <f t="shared" si="20"/>
        <v>445</v>
      </c>
    </row>
    <row r="448" spans="1:27" hidden="1" x14ac:dyDescent="0.3">
      <c r="A448" t="str">
        <f t="shared" si="18"/>
        <v>2023-Toluca</v>
      </c>
      <c r="B448" t="str">
        <f t="shared" si="19"/>
        <v>2023-Querétaro</v>
      </c>
      <c r="C448">
        <v>2023</v>
      </c>
      <c r="D448" t="s">
        <v>2</v>
      </c>
      <c r="E448" s="2">
        <v>3</v>
      </c>
      <c r="F448" s="2">
        <v>1</v>
      </c>
      <c r="G448" t="s">
        <v>22</v>
      </c>
      <c r="H448">
        <v>66.2</v>
      </c>
      <c r="I448">
        <v>6.62</v>
      </c>
      <c r="J448">
        <v>19.86</v>
      </c>
      <c r="K448">
        <v>19.86</v>
      </c>
      <c r="L448">
        <v>19.86</v>
      </c>
      <c r="M448" s="6">
        <v>0.76190476190476186</v>
      </c>
      <c r="N448" s="6">
        <v>0.19047619047619047</v>
      </c>
      <c r="O448" s="6">
        <v>4.7619047619047616E-2</v>
      </c>
      <c r="P448" s="10">
        <v>118</v>
      </c>
      <c r="Q448" t="s">
        <v>37</v>
      </c>
      <c r="R448" t="s">
        <v>37</v>
      </c>
      <c r="S448" t="s">
        <v>37</v>
      </c>
      <c r="T448" t="s">
        <v>37</v>
      </c>
      <c r="U448" t="s">
        <v>37</v>
      </c>
      <c r="V448" s="6">
        <v>0.17647058823529413</v>
      </c>
      <c r="W448" s="6">
        <v>0.17647058823529413</v>
      </c>
      <c r="X448" s="6">
        <v>0.6470588235294118</v>
      </c>
      <c r="Y448" s="11">
        <f>VLOOKUP(G448,'[1]historico puntos 2022-2025'!$A$2:$G$19,7,0)</f>
        <v>64</v>
      </c>
      <c r="Z448" t="s">
        <v>38</v>
      </c>
      <c r="AA448">
        <f t="shared" si="20"/>
        <v>446</v>
      </c>
    </row>
    <row r="449" spans="1:27" hidden="1" x14ac:dyDescent="0.3">
      <c r="A449" t="str">
        <f t="shared" si="18"/>
        <v>2023-Pumas</v>
      </c>
      <c r="B449" t="str">
        <f t="shared" si="19"/>
        <v>2023-Querétaro</v>
      </c>
      <c r="C449">
        <v>2023</v>
      </c>
      <c r="D449" t="s">
        <v>16</v>
      </c>
      <c r="E449" s="2">
        <v>4</v>
      </c>
      <c r="F449" s="2">
        <v>0</v>
      </c>
      <c r="G449" t="s">
        <v>22</v>
      </c>
      <c r="H449" t="s">
        <v>37</v>
      </c>
      <c r="I449" t="s">
        <v>37</v>
      </c>
      <c r="J449" t="s">
        <v>37</v>
      </c>
      <c r="K449" t="s">
        <v>37</v>
      </c>
      <c r="L449" t="s">
        <v>37</v>
      </c>
      <c r="M449" s="6">
        <v>0.5</v>
      </c>
      <c r="N449" s="6">
        <v>0.16666666666666666</v>
      </c>
      <c r="O449" s="6">
        <v>0.33333333333333331</v>
      </c>
      <c r="P449" s="10">
        <v>75</v>
      </c>
      <c r="Q449" t="s">
        <v>37</v>
      </c>
      <c r="R449" t="s">
        <v>37</v>
      </c>
      <c r="S449" t="s">
        <v>37</v>
      </c>
      <c r="T449" t="s">
        <v>37</v>
      </c>
      <c r="U449" t="s">
        <v>37</v>
      </c>
      <c r="V449" s="6">
        <v>0.17647058823529413</v>
      </c>
      <c r="W449" s="6">
        <v>0.17647058823529413</v>
      </c>
      <c r="X449" s="6">
        <v>0.6470588235294118</v>
      </c>
      <c r="Y449" s="11">
        <f>VLOOKUP(G449,'[1]historico puntos 2022-2025'!$A$2:$G$19,7,0)</f>
        <v>64</v>
      </c>
      <c r="Z449" t="s">
        <v>38</v>
      </c>
      <c r="AA449">
        <f t="shared" si="20"/>
        <v>447</v>
      </c>
    </row>
    <row r="450" spans="1:27" hidden="1" x14ac:dyDescent="0.3">
      <c r="A450" t="str">
        <f t="shared" si="18"/>
        <v>2023-Querétaro</v>
      </c>
      <c r="B450" t="str">
        <f t="shared" si="19"/>
        <v>2023-León</v>
      </c>
      <c r="C450">
        <v>2023</v>
      </c>
      <c r="D450" t="s">
        <v>22</v>
      </c>
      <c r="E450" s="2">
        <v>1</v>
      </c>
      <c r="F450" s="2">
        <v>1</v>
      </c>
      <c r="G450" t="s">
        <v>36</v>
      </c>
      <c r="H450">
        <v>21.45</v>
      </c>
      <c r="I450">
        <v>2.14</v>
      </c>
      <c r="J450">
        <v>6.44</v>
      </c>
      <c r="K450">
        <v>6.44</v>
      </c>
      <c r="L450">
        <v>6.44</v>
      </c>
      <c r="M450" s="6">
        <v>0.35294117647058826</v>
      </c>
      <c r="N450" s="6">
        <v>0.11764705882352941</v>
      </c>
      <c r="O450" s="6">
        <v>0.52941176470588236</v>
      </c>
      <c r="P450" s="10">
        <v>64</v>
      </c>
      <c r="Q450">
        <v>41.5</v>
      </c>
      <c r="R450">
        <v>4.1500000000000004</v>
      </c>
      <c r="S450">
        <v>12.45</v>
      </c>
      <c r="T450">
        <v>12.45</v>
      </c>
      <c r="U450">
        <v>12.45</v>
      </c>
      <c r="V450" s="6">
        <v>0.27777777777777779</v>
      </c>
      <c r="W450" s="6">
        <v>0.27777777777777779</v>
      </c>
      <c r="X450" s="6">
        <v>0.44444444444444442</v>
      </c>
      <c r="Y450" s="11">
        <f>VLOOKUP(G450,'[1]historico puntos 2022-2025'!$A$2:$G$19,7,0)</f>
        <v>87</v>
      </c>
      <c r="Z450" t="s">
        <v>39</v>
      </c>
      <c r="AA450">
        <f t="shared" si="20"/>
        <v>448</v>
      </c>
    </row>
    <row r="451" spans="1:27" hidden="1" x14ac:dyDescent="0.3">
      <c r="A451" t="str">
        <f t="shared" ref="A451:A514" si="21">C451&amp;"-"&amp;D451</f>
        <v>2023-Cruz Azul</v>
      </c>
      <c r="B451" t="str">
        <f t="shared" ref="B451:B514" si="22">C451&amp;"-"&amp;G451</f>
        <v>2023-Querétaro</v>
      </c>
      <c r="C451">
        <v>2023</v>
      </c>
      <c r="D451" t="s">
        <v>10</v>
      </c>
      <c r="E451" s="2">
        <v>1</v>
      </c>
      <c r="F451" s="2">
        <v>3</v>
      </c>
      <c r="G451" t="s">
        <v>22</v>
      </c>
      <c r="H451">
        <v>72.2</v>
      </c>
      <c r="I451">
        <v>7.22</v>
      </c>
      <c r="J451">
        <v>21.66</v>
      </c>
      <c r="K451">
        <v>21.66</v>
      </c>
      <c r="L451">
        <v>21.66</v>
      </c>
      <c r="M451" s="6">
        <v>0.7142857142857143</v>
      </c>
      <c r="N451" s="6">
        <v>0.23809523809523808</v>
      </c>
      <c r="O451" s="6">
        <v>4.7619047619047616E-2</v>
      </c>
      <c r="P451" s="10">
        <v>107</v>
      </c>
      <c r="Q451" t="s">
        <v>37</v>
      </c>
      <c r="R451" t="s">
        <v>37</v>
      </c>
      <c r="S451" t="s">
        <v>37</v>
      </c>
      <c r="T451" t="s">
        <v>37</v>
      </c>
      <c r="U451" t="s">
        <v>37</v>
      </c>
      <c r="V451" s="6">
        <v>0.17647058823529413</v>
      </c>
      <c r="W451" s="6">
        <v>0.17647058823529413</v>
      </c>
      <c r="X451" s="6">
        <v>0.6470588235294118</v>
      </c>
      <c r="Y451" s="11">
        <f>VLOOKUP(G451,'[1]historico puntos 2022-2025'!$A$2:$G$19,7,0)</f>
        <v>64</v>
      </c>
      <c r="Z451" t="s">
        <v>40</v>
      </c>
      <c r="AA451">
        <f t="shared" si="20"/>
        <v>449</v>
      </c>
    </row>
    <row r="452" spans="1:27" hidden="1" x14ac:dyDescent="0.3">
      <c r="A452" t="str">
        <f t="shared" si="21"/>
        <v>2023-Querétaro</v>
      </c>
      <c r="B452" t="str">
        <f t="shared" si="22"/>
        <v>2023-América</v>
      </c>
      <c r="C452">
        <v>2023</v>
      </c>
      <c r="D452" t="s">
        <v>22</v>
      </c>
      <c r="E452" s="2">
        <v>1</v>
      </c>
      <c r="F452" s="2">
        <v>2</v>
      </c>
      <c r="G452" t="s">
        <v>14</v>
      </c>
      <c r="H452">
        <v>21.45</v>
      </c>
      <c r="I452">
        <v>2.14</v>
      </c>
      <c r="J452">
        <v>6.44</v>
      </c>
      <c r="K452">
        <v>6.44</v>
      </c>
      <c r="L452">
        <v>6.44</v>
      </c>
      <c r="M452" s="6">
        <v>0.35294117647058826</v>
      </c>
      <c r="N452" s="6">
        <v>0.11764705882352941</v>
      </c>
      <c r="O452" s="6">
        <v>0.52941176470588236</v>
      </c>
      <c r="P452" s="10">
        <v>64</v>
      </c>
      <c r="Q452">
        <v>84.2</v>
      </c>
      <c r="R452">
        <v>8.42</v>
      </c>
      <c r="S452">
        <v>25.26</v>
      </c>
      <c r="T452">
        <v>25.26</v>
      </c>
      <c r="U452">
        <v>25.26</v>
      </c>
      <c r="V452" s="6">
        <v>0.375</v>
      </c>
      <c r="W452" s="6">
        <v>0.29166666666666669</v>
      </c>
      <c r="X452" s="6">
        <v>0.33333333333333331</v>
      </c>
      <c r="Y452" s="11">
        <f>VLOOKUP(G452,'[1]historico puntos 2022-2025'!$A$2:$G$19,7,0)</f>
        <v>133</v>
      </c>
      <c r="Z452" t="s">
        <v>40</v>
      </c>
      <c r="AA452">
        <f t="shared" ref="AA452:AA515" si="23">AA451+1</f>
        <v>450</v>
      </c>
    </row>
    <row r="453" spans="1:27" x14ac:dyDescent="0.3">
      <c r="A453" t="str">
        <f t="shared" si="21"/>
        <v>2023-Tigres</v>
      </c>
      <c r="B453" t="str">
        <f t="shared" si="22"/>
        <v>2023-Querétaro</v>
      </c>
      <c r="C453">
        <v>2023</v>
      </c>
      <c r="D453" t="s">
        <v>17</v>
      </c>
      <c r="E453" s="2">
        <v>5</v>
      </c>
      <c r="F453" s="2">
        <v>0</v>
      </c>
      <c r="G453" t="s">
        <v>22</v>
      </c>
      <c r="H453">
        <v>67.599999999999994</v>
      </c>
      <c r="I453">
        <v>6.76</v>
      </c>
      <c r="J453">
        <v>20.28</v>
      </c>
      <c r="K453">
        <v>20.28</v>
      </c>
      <c r="L453">
        <v>20.28</v>
      </c>
      <c r="M453" s="6">
        <v>0.7</v>
      </c>
      <c r="N453" s="6">
        <v>0.25</v>
      </c>
      <c r="O453" s="6">
        <v>0.05</v>
      </c>
      <c r="P453" s="10">
        <v>107</v>
      </c>
      <c r="Q453" t="s">
        <v>37</v>
      </c>
      <c r="R453" t="s">
        <v>37</v>
      </c>
      <c r="S453" t="s">
        <v>37</v>
      </c>
      <c r="T453" t="s">
        <v>37</v>
      </c>
      <c r="U453" t="s">
        <v>37</v>
      </c>
      <c r="V453" s="6">
        <v>0.17647058823529413</v>
      </c>
      <c r="W453" s="6">
        <v>0.17647058823529413</v>
      </c>
      <c r="X453" s="6">
        <v>0.6470588235294118</v>
      </c>
      <c r="Y453" s="11">
        <f>VLOOKUP(G453,'[1]historico puntos 2022-2025'!$A$2:$G$19,7,0)</f>
        <v>64</v>
      </c>
      <c r="Z453" t="s">
        <v>38</v>
      </c>
      <c r="AA453">
        <f t="shared" si="23"/>
        <v>451</v>
      </c>
    </row>
    <row r="454" spans="1:27" hidden="1" x14ac:dyDescent="0.3">
      <c r="A454" t="str">
        <f t="shared" si="21"/>
        <v>2023-Necaxa</v>
      </c>
      <c r="B454" t="str">
        <f t="shared" si="22"/>
        <v>2023-Querétaro</v>
      </c>
      <c r="C454">
        <v>2023</v>
      </c>
      <c r="D454" t="s">
        <v>4</v>
      </c>
      <c r="E454" s="2">
        <v>0</v>
      </c>
      <c r="F454" s="2">
        <v>1</v>
      </c>
      <c r="G454" t="s">
        <v>22</v>
      </c>
      <c r="H454">
        <v>40</v>
      </c>
      <c r="I454">
        <v>4</v>
      </c>
      <c r="J454">
        <v>12</v>
      </c>
      <c r="K454">
        <v>12</v>
      </c>
      <c r="L454">
        <v>12</v>
      </c>
      <c r="M454" s="6">
        <v>0.44444444444444442</v>
      </c>
      <c r="N454" s="6">
        <v>0.22222222222222221</v>
      </c>
      <c r="O454" s="6">
        <v>0.33333333333333331</v>
      </c>
      <c r="P454" s="10">
        <v>77</v>
      </c>
      <c r="Q454" t="s">
        <v>37</v>
      </c>
      <c r="R454" t="s">
        <v>37</v>
      </c>
      <c r="S454" t="s">
        <v>37</v>
      </c>
      <c r="T454" t="s">
        <v>37</v>
      </c>
      <c r="U454" t="s">
        <v>37</v>
      </c>
      <c r="V454" s="6">
        <v>0.17647058823529413</v>
      </c>
      <c r="W454" s="6">
        <v>0.17647058823529413</v>
      </c>
      <c r="X454" s="6">
        <v>0.6470588235294118</v>
      </c>
      <c r="Y454" s="11">
        <f>VLOOKUP(G454,'[1]historico puntos 2022-2025'!$A$2:$G$19,7,0)</f>
        <v>64</v>
      </c>
      <c r="Z454" t="s">
        <v>40</v>
      </c>
      <c r="AA454">
        <f t="shared" si="23"/>
        <v>452</v>
      </c>
    </row>
    <row r="455" spans="1:27" hidden="1" x14ac:dyDescent="0.3">
      <c r="A455" t="str">
        <f t="shared" si="21"/>
        <v>2023-Querétaro</v>
      </c>
      <c r="B455" t="str">
        <f t="shared" si="22"/>
        <v>2023-Pachuca</v>
      </c>
      <c r="C455">
        <v>2023</v>
      </c>
      <c r="D455" t="s">
        <v>22</v>
      </c>
      <c r="E455" s="2">
        <v>1</v>
      </c>
      <c r="F455" s="2">
        <v>1</v>
      </c>
      <c r="G455" t="s">
        <v>0</v>
      </c>
      <c r="H455">
        <v>21.45</v>
      </c>
      <c r="I455">
        <v>2.14</v>
      </c>
      <c r="J455">
        <v>6.44</v>
      </c>
      <c r="K455">
        <v>6.44</v>
      </c>
      <c r="L455">
        <v>6.44</v>
      </c>
      <c r="M455" s="6">
        <v>0.35294117647058826</v>
      </c>
      <c r="N455" s="6">
        <v>0.11764705882352941</v>
      </c>
      <c r="O455" s="6">
        <v>0.52941176470588236</v>
      </c>
      <c r="P455" s="10">
        <v>64</v>
      </c>
      <c r="Q455">
        <v>51.25</v>
      </c>
      <c r="R455">
        <v>5.13</v>
      </c>
      <c r="S455">
        <v>15.38</v>
      </c>
      <c r="T455">
        <v>15.38</v>
      </c>
      <c r="U455">
        <v>15.38</v>
      </c>
      <c r="V455" s="6">
        <v>0.26315789473684209</v>
      </c>
      <c r="W455" s="6">
        <v>0.15789473684210525</v>
      </c>
      <c r="X455" s="6">
        <v>0.57894736842105265</v>
      </c>
      <c r="Y455" s="11">
        <f>VLOOKUP(G455,'[1]historico puntos 2022-2025'!$A$2:$G$19,7,0)</f>
        <v>98</v>
      </c>
      <c r="Z455" t="s">
        <v>39</v>
      </c>
      <c r="AA455">
        <f t="shared" si="23"/>
        <v>453</v>
      </c>
    </row>
    <row r="456" spans="1:27" hidden="1" x14ac:dyDescent="0.3">
      <c r="A456" t="str">
        <f t="shared" si="21"/>
        <v>2023-Atlético San Luis</v>
      </c>
      <c r="B456" t="str">
        <f t="shared" si="22"/>
        <v>2023-Querétaro</v>
      </c>
      <c r="C456">
        <v>2023</v>
      </c>
      <c r="D456" t="s">
        <v>15</v>
      </c>
      <c r="E456" s="2">
        <v>4</v>
      </c>
      <c r="F456" s="2">
        <v>1</v>
      </c>
      <c r="G456" t="s">
        <v>22</v>
      </c>
      <c r="H456">
        <v>35.85</v>
      </c>
      <c r="I456">
        <v>3.59</v>
      </c>
      <c r="J456">
        <v>10.77</v>
      </c>
      <c r="K456">
        <v>10.77</v>
      </c>
      <c r="L456">
        <v>10.77</v>
      </c>
      <c r="M456" s="6">
        <v>0.68421052631578949</v>
      </c>
      <c r="N456" s="6">
        <v>5.2631578947368418E-2</v>
      </c>
      <c r="O456" s="6">
        <v>0.26315789473684209</v>
      </c>
      <c r="P456" s="10">
        <v>59</v>
      </c>
      <c r="Q456" t="s">
        <v>37</v>
      </c>
      <c r="R456" t="s">
        <v>37</v>
      </c>
      <c r="S456" t="s">
        <v>37</v>
      </c>
      <c r="T456" t="s">
        <v>37</v>
      </c>
      <c r="U456" t="s">
        <v>37</v>
      </c>
      <c r="V456" s="6">
        <v>0.17647058823529413</v>
      </c>
      <c r="W456" s="6">
        <v>0.17647058823529413</v>
      </c>
      <c r="X456" s="6">
        <v>0.6470588235294118</v>
      </c>
      <c r="Y456" s="11">
        <f>VLOOKUP(G456,'[1]historico puntos 2022-2025'!$A$2:$G$19,7,0)</f>
        <v>64</v>
      </c>
      <c r="Z456" t="s">
        <v>38</v>
      </c>
      <c r="AA456">
        <f t="shared" si="23"/>
        <v>454</v>
      </c>
    </row>
    <row r="457" spans="1:27" hidden="1" x14ac:dyDescent="0.3">
      <c r="A457" t="str">
        <f t="shared" si="21"/>
        <v>2023-Santos Laguna</v>
      </c>
      <c r="B457" t="str">
        <f t="shared" si="22"/>
        <v>2023-Querétaro</v>
      </c>
      <c r="C457">
        <v>2023</v>
      </c>
      <c r="D457" t="s">
        <v>11</v>
      </c>
      <c r="E457" s="2">
        <v>0</v>
      </c>
      <c r="F457" s="2">
        <v>2</v>
      </c>
      <c r="G457" t="s">
        <v>22</v>
      </c>
      <c r="H457">
        <v>46</v>
      </c>
      <c r="I457">
        <v>4.5999999999999996</v>
      </c>
      <c r="J457">
        <v>13.8</v>
      </c>
      <c r="K457">
        <v>13.8</v>
      </c>
      <c r="L457">
        <v>13.8</v>
      </c>
      <c r="M457" s="6">
        <v>0.23529411764705882</v>
      </c>
      <c r="N457" s="6">
        <v>0.17647058823529413</v>
      </c>
      <c r="O457" s="6">
        <v>0.58823529411764708</v>
      </c>
      <c r="P457" s="10">
        <v>46</v>
      </c>
      <c r="Q457" t="s">
        <v>37</v>
      </c>
      <c r="R457" t="s">
        <v>37</v>
      </c>
      <c r="S457" t="s">
        <v>37</v>
      </c>
      <c r="T457" t="s">
        <v>37</v>
      </c>
      <c r="U457" t="s">
        <v>37</v>
      </c>
      <c r="V457" s="6">
        <v>0.17647058823529413</v>
      </c>
      <c r="W457" s="6">
        <v>0.17647058823529413</v>
      </c>
      <c r="X457" s="6">
        <v>0.6470588235294118</v>
      </c>
      <c r="Y457" s="11">
        <f>VLOOKUP(G457,'[1]historico puntos 2022-2025'!$A$2:$G$19,7,0)</f>
        <v>64</v>
      </c>
      <c r="Z457" t="s">
        <v>40</v>
      </c>
      <c r="AA457">
        <f t="shared" si="23"/>
        <v>455</v>
      </c>
    </row>
    <row r="458" spans="1:27" hidden="1" x14ac:dyDescent="0.3">
      <c r="A458" t="str">
        <f t="shared" si="21"/>
        <v>2024-Santos Laguna</v>
      </c>
      <c r="B458" t="str">
        <f t="shared" si="22"/>
        <v>2024-Atlético San Luis</v>
      </c>
      <c r="C458">
        <v>2024</v>
      </c>
      <c r="D458" t="s">
        <v>11</v>
      </c>
      <c r="E458" s="2">
        <v>0</v>
      </c>
      <c r="F458" s="2">
        <v>3</v>
      </c>
      <c r="G458" t="s">
        <v>15</v>
      </c>
      <c r="H458">
        <v>35.9</v>
      </c>
      <c r="I458">
        <v>3.59</v>
      </c>
      <c r="J458">
        <v>10.77</v>
      </c>
      <c r="K458">
        <v>10.77</v>
      </c>
      <c r="L458">
        <v>10.77</v>
      </c>
      <c r="M458" s="6">
        <v>0.23529411764705882</v>
      </c>
      <c r="N458" s="6">
        <v>0.17647058823529413</v>
      </c>
      <c r="O458" s="6">
        <v>0.58823529411764708</v>
      </c>
      <c r="P458" s="10">
        <v>46</v>
      </c>
      <c r="Q458">
        <v>45.95</v>
      </c>
      <c r="R458">
        <v>4.5999999999999996</v>
      </c>
      <c r="S458">
        <v>13.84</v>
      </c>
      <c r="T458">
        <v>13.84</v>
      </c>
      <c r="U458">
        <v>13.84</v>
      </c>
      <c r="V458" s="6">
        <v>0.21052631578947367</v>
      </c>
      <c r="W458" s="6">
        <v>0.15789473684210525</v>
      </c>
      <c r="X458" s="6">
        <v>0.63157894736842102</v>
      </c>
      <c r="Y458" s="11">
        <f>VLOOKUP(G458,'[1]historico puntos 2022-2025'!$A$2:$G$19,7,0)</f>
        <v>59</v>
      </c>
      <c r="Z458" t="s">
        <v>40</v>
      </c>
      <c r="AA458">
        <f t="shared" si="23"/>
        <v>456</v>
      </c>
    </row>
    <row r="459" spans="1:27" hidden="1" x14ac:dyDescent="0.3">
      <c r="A459" t="str">
        <f t="shared" si="21"/>
        <v>2024-Santos Laguna</v>
      </c>
      <c r="B459" t="str">
        <f t="shared" si="22"/>
        <v>2024-Pachuca</v>
      </c>
      <c r="C459">
        <v>2024</v>
      </c>
      <c r="D459" t="s">
        <v>11</v>
      </c>
      <c r="E459" s="2">
        <v>0</v>
      </c>
      <c r="F459" s="2">
        <v>2</v>
      </c>
      <c r="G459" t="s">
        <v>0</v>
      </c>
      <c r="H459">
        <v>35.9</v>
      </c>
      <c r="I459">
        <v>3.59</v>
      </c>
      <c r="J459">
        <v>10.77</v>
      </c>
      <c r="K459">
        <v>10.77</v>
      </c>
      <c r="L459">
        <v>10.77</v>
      </c>
      <c r="M459" s="6">
        <v>0.23529411764705882</v>
      </c>
      <c r="N459" s="6">
        <v>0.17647058823529413</v>
      </c>
      <c r="O459" s="6">
        <v>0.58823529411764708</v>
      </c>
      <c r="P459" s="10">
        <v>46</v>
      </c>
      <c r="Q459">
        <v>56.6</v>
      </c>
      <c r="R459">
        <v>5.66</v>
      </c>
      <c r="S459">
        <v>16.98</v>
      </c>
      <c r="T459">
        <v>16.98</v>
      </c>
      <c r="U459">
        <v>16.98</v>
      </c>
      <c r="V459" s="6">
        <v>0.26315789473684209</v>
      </c>
      <c r="W459" s="6">
        <v>0.15789473684210525</v>
      </c>
      <c r="X459" s="6">
        <v>0.57894736842105265</v>
      </c>
      <c r="Y459" s="11">
        <f>VLOOKUP(G459,'[1]historico puntos 2022-2025'!$A$2:$G$19,7,0)</f>
        <v>98</v>
      </c>
      <c r="Z459" t="s">
        <v>40</v>
      </c>
      <c r="AA459">
        <f t="shared" si="23"/>
        <v>457</v>
      </c>
    </row>
    <row r="460" spans="1:27" hidden="1" x14ac:dyDescent="0.3">
      <c r="A460" t="str">
        <f t="shared" si="21"/>
        <v>2024-Necaxa</v>
      </c>
      <c r="B460" t="str">
        <f t="shared" si="22"/>
        <v>2024-Santos Laguna</v>
      </c>
      <c r="C460">
        <v>2024</v>
      </c>
      <c r="D460" t="s">
        <v>4</v>
      </c>
      <c r="E460" s="2">
        <v>2</v>
      </c>
      <c r="F460" s="2">
        <v>0</v>
      </c>
      <c r="G460" t="s">
        <v>11</v>
      </c>
      <c r="H460">
        <v>38.5</v>
      </c>
      <c r="I460">
        <v>3.85</v>
      </c>
      <c r="J460">
        <v>11.55</v>
      </c>
      <c r="K460">
        <v>11.55</v>
      </c>
      <c r="L460">
        <v>11.55</v>
      </c>
      <c r="M460" s="6">
        <v>0.44444444444444442</v>
      </c>
      <c r="N460" s="6">
        <v>0.22222222222222221</v>
      </c>
      <c r="O460" s="6">
        <v>0.33333333333333331</v>
      </c>
      <c r="P460" s="10">
        <v>77</v>
      </c>
      <c r="Q460" t="s">
        <v>37</v>
      </c>
      <c r="R460" t="s">
        <v>37</v>
      </c>
      <c r="S460" t="s">
        <v>37</v>
      </c>
      <c r="T460" t="s">
        <v>37</v>
      </c>
      <c r="U460" t="s">
        <v>37</v>
      </c>
      <c r="V460" s="6">
        <v>0</v>
      </c>
      <c r="W460" s="6">
        <v>0.11764705882352941</v>
      </c>
      <c r="X460" s="6">
        <v>0.88235294117647056</v>
      </c>
      <c r="Y460" s="11">
        <f>VLOOKUP(G460,'[1]historico puntos 2022-2025'!$A$2:$G$19,7,0)</f>
        <v>46</v>
      </c>
      <c r="Z460" t="s">
        <v>38</v>
      </c>
      <c r="AA460">
        <f t="shared" si="23"/>
        <v>458</v>
      </c>
    </row>
    <row r="461" spans="1:27" hidden="1" x14ac:dyDescent="0.3">
      <c r="A461" t="str">
        <f t="shared" si="21"/>
        <v>2024-Santos Laguna</v>
      </c>
      <c r="B461" t="str">
        <f t="shared" si="22"/>
        <v>2024-América</v>
      </c>
      <c r="C461">
        <v>2024</v>
      </c>
      <c r="D461" t="s">
        <v>11</v>
      </c>
      <c r="E461" s="2">
        <v>1</v>
      </c>
      <c r="F461" s="2">
        <v>1</v>
      </c>
      <c r="G461" t="s">
        <v>14</v>
      </c>
      <c r="H461">
        <v>35.9</v>
      </c>
      <c r="I461">
        <v>3.59</v>
      </c>
      <c r="J461">
        <v>10.77</v>
      </c>
      <c r="K461">
        <v>10.77</v>
      </c>
      <c r="L461">
        <v>10.77</v>
      </c>
      <c r="M461" s="6">
        <v>0.23529411764705882</v>
      </c>
      <c r="N461" s="6">
        <v>0.17647058823529413</v>
      </c>
      <c r="O461" s="6">
        <v>0.58823529411764708</v>
      </c>
      <c r="P461" s="10">
        <v>46</v>
      </c>
      <c r="Q461">
        <v>92.45</v>
      </c>
      <c r="R461">
        <v>9.25</v>
      </c>
      <c r="S461">
        <v>27.73</v>
      </c>
      <c r="T461">
        <v>27.73</v>
      </c>
      <c r="U461">
        <v>27.73</v>
      </c>
      <c r="V461" s="6">
        <v>0.375</v>
      </c>
      <c r="W461" s="6">
        <v>0.29166666666666669</v>
      </c>
      <c r="X461" s="6">
        <v>0.33333333333333331</v>
      </c>
      <c r="Y461" s="11">
        <f>VLOOKUP(G461,'[1]historico puntos 2022-2025'!$A$2:$G$19,7,0)</f>
        <v>133</v>
      </c>
      <c r="Z461" t="s">
        <v>39</v>
      </c>
      <c r="AA461">
        <f t="shared" si="23"/>
        <v>459</v>
      </c>
    </row>
    <row r="462" spans="1:27" hidden="1" x14ac:dyDescent="0.3">
      <c r="A462" t="str">
        <f t="shared" si="21"/>
        <v>2024-Juarez</v>
      </c>
      <c r="B462" t="str">
        <f t="shared" si="22"/>
        <v>2024-Santos Laguna</v>
      </c>
      <c r="C462">
        <v>2024</v>
      </c>
      <c r="D462" t="s">
        <v>18</v>
      </c>
      <c r="E462" s="2">
        <v>2</v>
      </c>
      <c r="F462" s="2">
        <v>1</v>
      </c>
      <c r="G462" t="s">
        <v>11</v>
      </c>
      <c r="H462" t="s">
        <v>37</v>
      </c>
      <c r="I462" t="s">
        <v>37</v>
      </c>
      <c r="J462" t="s">
        <v>37</v>
      </c>
      <c r="K462" t="s">
        <v>37</v>
      </c>
      <c r="L462" t="s">
        <v>37</v>
      </c>
      <c r="M462" s="6">
        <v>0.27777777777777779</v>
      </c>
      <c r="N462" s="6">
        <v>0.33333333333333331</v>
      </c>
      <c r="O462" s="6">
        <v>0.3888888888888889</v>
      </c>
      <c r="P462" s="10">
        <v>55</v>
      </c>
      <c r="Q462" t="s">
        <v>37</v>
      </c>
      <c r="R462" t="s">
        <v>37</v>
      </c>
      <c r="S462" t="s">
        <v>37</v>
      </c>
      <c r="T462" t="s">
        <v>37</v>
      </c>
      <c r="U462" t="s">
        <v>37</v>
      </c>
      <c r="V462" s="6">
        <v>0</v>
      </c>
      <c r="W462" s="6">
        <v>0.11764705882352941</v>
      </c>
      <c r="X462" s="6">
        <v>0.88235294117647056</v>
      </c>
      <c r="Y462" s="11">
        <f>VLOOKUP(G462,'[1]historico puntos 2022-2025'!$A$2:$G$19,7,0)</f>
        <v>46</v>
      </c>
      <c r="Z462" t="s">
        <v>38</v>
      </c>
      <c r="AA462">
        <f t="shared" si="23"/>
        <v>460</v>
      </c>
    </row>
    <row r="463" spans="1:27" hidden="1" x14ac:dyDescent="0.3">
      <c r="A463" t="str">
        <f t="shared" si="21"/>
        <v>2024-Xolos</v>
      </c>
      <c r="B463" t="str">
        <f t="shared" si="22"/>
        <v>2024-Santos Laguna</v>
      </c>
      <c r="C463">
        <v>2024</v>
      </c>
      <c r="D463" t="s">
        <v>19</v>
      </c>
      <c r="E463" s="2">
        <v>2</v>
      </c>
      <c r="F463" s="2">
        <v>2</v>
      </c>
      <c r="G463" t="s">
        <v>11</v>
      </c>
      <c r="H463" t="s">
        <v>37</v>
      </c>
      <c r="I463" t="s">
        <v>37</v>
      </c>
      <c r="J463" t="s">
        <v>37</v>
      </c>
      <c r="K463" t="s">
        <v>37</v>
      </c>
      <c r="L463" t="s">
        <v>37</v>
      </c>
      <c r="M463" s="6">
        <v>0.55000000000000004</v>
      </c>
      <c r="N463" s="6">
        <v>0.15</v>
      </c>
      <c r="O463" s="6">
        <v>0.3</v>
      </c>
      <c r="P463" s="10">
        <v>49</v>
      </c>
      <c r="Q463" t="s">
        <v>37</v>
      </c>
      <c r="R463" t="s">
        <v>37</v>
      </c>
      <c r="S463" t="s">
        <v>37</v>
      </c>
      <c r="T463" t="s">
        <v>37</v>
      </c>
      <c r="U463" t="s">
        <v>37</v>
      </c>
      <c r="V463" s="6">
        <v>0</v>
      </c>
      <c r="W463" s="6">
        <v>0.11764705882352941</v>
      </c>
      <c r="X463" s="6">
        <v>0.88235294117647056</v>
      </c>
      <c r="Y463" s="11">
        <f>VLOOKUP(G463,'[1]historico puntos 2022-2025'!$A$2:$G$19,7,0)</f>
        <v>46</v>
      </c>
      <c r="Z463" t="s">
        <v>39</v>
      </c>
      <c r="AA463">
        <f t="shared" si="23"/>
        <v>461</v>
      </c>
    </row>
    <row r="464" spans="1:27" hidden="1" x14ac:dyDescent="0.3">
      <c r="A464" t="str">
        <f t="shared" si="21"/>
        <v>2024-Querétaro</v>
      </c>
      <c r="B464" t="str">
        <f t="shared" si="22"/>
        <v>2024-Santos Laguna</v>
      </c>
      <c r="C464">
        <v>2024</v>
      </c>
      <c r="D464" t="s">
        <v>22</v>
      </c>
      <c r="E464" s="2">
        <v>0</v>
      </c>
      <c r="F464" s="2">
        <v>1</v>
      </c>
      <c r="G464" t="s">
        <v>11</v>
      </c>
      <c r="H464">
        <v>17.8</v>
      </c>
      <c r="I464">
        <v>1.78</v>
      </c>
      <c r="J464">
        <v>5.34</v>
      </c>
      <c r="K464">
        <v>5.34</v>
      </c>
      <c r="L464">
        <v>5.34</v>
      </c>
      <c r="M464" s="6">
        <v>0.35294117647058826</v>
      </c>
      <c r="N464" s="6">
        <v>0.11764705882352941</v>
      </c>
      <c r="O464" s="6">
        <v>0.52941176470588236</v>
      </c>
      <c r="P464" s="10">
        <v>64</v>
      </c>
      <c r="Q464" t="s">
        <v>37</v>
      </c>
      <c r="R464" t="s">
        <v>37</v>
      </c>
      <c r="S464" t="s">
        <v>37</v>
      </c>
      <c r="T464" t="s">
        <v>37</v>
      </c>
      <c r="U464" t="s">
        <v>37</v>
      </c>
      <c r="V464" s="6">
        <v>0</v>
      </c>
      <c r="W464" s="6">
        <v>0.11764705882352941</v>
      </c>
      <c r="X464" s="6">
        <v>0.88235294117647056</v>
      </c>
      <c r="Y464" s="11">
        <f>VLOOKUP(G464,'[1]historico puntos 2022-2025'!$A$2:$G$19,7,0)</f>
        <v>46</v>
      </c>
      <c r="Z464" t="s">
        <v>40</v>
      </c>
      <c r="AA464">
        <f t="shared" si="23"/>
        <v>462</v>
      </c>
    </row>
    <row r="465" spans="1:27" hidden="1" x14ac:dyDescent="0.3">
      <c r="A465" t="str">
        <f t="shared" si="21"/>
        <v>2024-Santos Laguna</v>
      </c>
      <c r="B465" t="str">
        <f t="shared" si="22"/>
        <v>2024-Mazatlán</v>
      </c>
      <c r="C465">
        <v>2024</v>
      </c>
      <c r="D465" t="s">
        <v>11</v>
      </c>
      <c r="E465" s="2">
        <v>1</v>
      </c>
      <c r="F465" s="2">
        <v>0</v>
      </c>
      <c r="G465" t="s">
        <v>20</v>
      </c>
      <c r="H465">
        <v>35.9</v>
      </c>
      <c r="I465">
        <v>3.59</v>
      </c>
      <c r="J465">
        <v>10.77</v>
      </c>
      <c r="K465">
        <v>10.77</v>
      </c>
      <c r="L465">
        <v>10.77</v>
      </c>
      <c r="M465" s="6">
        <v>0.23529411764705882</v>
      </c>
      <c r="N465" s="6">
        <v>0.17647058823529413</v>
      </c>
      <c r="O465" s="6">
        <v>0.58823529411764708</v>
      </c>
      <c r="P465" s="10">
        <v>46</v>
      </c>
      <c r="Q465">
        <v>31.45</v>
      </c>
      <c r="R465">
        <v>3.15</v>
      </c>
      <c r="S465">
        <v>9.44</v>
      </c>
      <c r="T465">
        <v>9.44</v>
      </c>
      <c r="U465">
        <v>9.44</v>
      </c>
      <c r="V465" s="6">
        <v>5.8823529411764705E-2</v>
      </c>
      <c r="W465" s="6">
        <v>0.29411764705882354</v>
      </c>
      <c r="X465" s="6">
        <v>0.6470588235294118</v>
      </c>
      <c r="Y465" s="11">
        <f>VLOOKUP(G465,'[1]historico puntos 2022-2025'!$A$2:$G$19,7,0)</f>
        <v>40</v>
      </c>
      <c r="Z465" t="s">
        <v>38</v>
      </c>
      <c r="AA465">
        <f t="shared" si="23"/>
        <v>463</v>
      </c>
    </row>
    <row r="466" spans="1:27" hidden="1" x14ac:dyDescent="0.3">
      <c r="A466" t="str">
        <f t="shared" si="21"/>
        <v>2024-Toluca</v>
      </c>
      <c r="B466" t="str">
        <f t="shared" si="22"/>
        <v>2024-Santos Laguna</v>
      </c>
      <c r="C466">
        <v>2024</v>
      </c>
      <c r="D466" t="s">
        <v>2</v>
      </c>
      <c r="E466" s="2">
        <v>1</v>
      </c>
      <c r="F466" s="2">
        <v>0</v>
      </c>
      <c r="G466" t="s">
        <v>11</v>
      </c>
      <c r="H466">
        <v>77.45</v>
      </c>
      <c r="I466">
        <v>7.75</v>
      </c>
      <c r="J466">
        <v>23.24</v>
      </c>
      <c r="K466">
        <v>23.24</v>
      </c>
      <c r="L466">
        <v>23.24</v>
      </c>
      <c r="M466" s="6">
        <v>0.76190476190476186</v>
      </c>
      <c r="N466" s="6">
        <v>0.19047619047619047</v>
      </c>
      <c r="O466" s="6">
        <v>4.7619047619047616E-2</v>
      </c>
      <c r="P466" s="10">
        <v>118</v>
      </c>
      <c r="Q466" t="s">
        <v>37</v>
      </c>
      <c r="R466" t="s">
        <v>37</v>
      </c>
      <c r="S466" t="s">
        <v>37</v>
      </c>
      <c r="T466" t="s">
        <v>37</v>
      </c>
      <c r="U466" t="s">
        <v>37</v>
      </c>
      <c r="V466" s="6">
        <v>0</v>
      </c>
      <c r="W466" s="6">
        <v>0.11764705882352941</v>
      </c>
      <c r="X466" s="6">
        <v>0.88235294117647056</v>
      </c>
      <c r="Y466" s="11">
        <f>VLOOKUP(G466,'[1]historico puntos 2022-2025'!$A$2:$G$19,7,0)</f>
        <v>46</v>
      </c>
      <c r="Z466" t="s">
        <v>38</v>
      </c>
      <c r="AA466">
        <f t="shared" si="23"/>
        <v>464</v>
      </c>
    </row>
    <row r="467" spans="1:27" hidden="1" x14ac:dyDescent="0.3">
      <c r="A467" t="str">
        <f t="shared" si="21"/>
        <v>2024-Pumas</v>
      </c>
      <c r="B467" t="str">
        <f t="shared" si="22"/>
        <v>2024-Santos Laguna</v>
      </c>
      <c r="C467">
        <v>2024</v>
      </c>
      <c r="D467" t="s">
        <v>16</v>
      </c>
      <c r="E467" s="2">
        <v>3</v>
      </c>
      <c r="F467" s="2">
        <v>0</v>
      </c>
      <c r="G467" t="s">
        <v>11</v>
      </c>
      <c r="H467">
        <v>47.6</v>
      </c>
      <c r="I467">
        <v>4.76</v>
      </c>
      <c r="J467">
        <v>14.28</v>
      </c>
      <c r="K467">
        <v>14.28</v>
      </c>
      <c r="L467">
        <v>14.28</v>
      </c>
      <c r="M467" s="6">
        <v>0.5</v>
      </c>
      <c r="N467" s="6">
        <v>0.16666666666666666</v>
      </c>
      <c r="O467" s="6">
        <v>0.33333333333333331</v>
      </c>
      <c r="P467" s="10">
        <v>75</v>
      </c>
      <c r="Q467" t="s">
        <v>37</v>
      </c>
      <c r="R467" t="s">
        <v>37</v>
      </c>
      <c r="S467" t="s">
        <v>37</v>
      </c>
      <c r="T467" t="s">
        <v>37</v>
      </c>
      <c r="U467" t="s">
        <v>37</v>
      </c>
      <c r="V467" s="6">
        <v>0</v>
      </c>
      <c r="W467" s="6">
        <v>0.11764705882352941</v>
      </c>
      <c r="X467" s="6">
        <v>0.88235294117647056</v>
      </c>
      <c r="Y467" s="11">
        <f>VLOOKUP(G467,'[1]historico puntos 2022-2025'!$A$2:$G$19,7,0)</f>
        <v>46</v>
      </c>
      <c r="Z467" t="s">
        <v>38</v>
      </c>
      <c r="AA467">
        <f t="shared" si="23"/>
        <v>465</v>
      </c>
    </row>
    <row r="468" spans="1:27" hidden="1" x14ac:dyDescent="0.3">
      <c r="A468" t="str">
        <f t="shared" si="21"/>
        <v>2024-Santos Laguna</v>
      </c>
      <c r="B468" t="str">
        <f t="shared" si="22"/>
        <v>2024-Tigres</v>
      </c>
      <c r="C468">
        <v>2024</v>
      </c>
      <c r="D468" t="s">
        <v>11</v>
      </c>
      <c r="E468" s="2">
        <v>0</v>
      </c>
      <c r="F468" s="2">
        <v>3</v>
      </c>
      <c r="G468" t="s">
        <v>17</v>
      </c>
      <c r="H468">
        <v>35.9</v>
      </c>
      <c r="I468">
        <v>3.59</v>
      </c>
      <c r="J468">
        <v>10.77</v>
      </c>
      <c r="K468">
        <v>10.77</v>
      </c>
      <c r="L468">
        <v>10.77</v>
      </c>
      <c r="M468" s="6">
        <v>0.23529411764705882</v>
      </c>
      <c r="N468" s="6">
        <v>0.17647058823529413</v>
      </c>
      <c r="O468" s="6">
        <v>0.58823529411764708</v>
      </c>
      <c r="P468" s="10">
        <v>46</v>
      </c>
      <c r="Q468" t="s">
        <v>37</v>
      </c>
      <c r="R468" t="s">
        <v>37</v>
      </c>
      <c r="S468" t="s">
        <v>37</v>
      </c>
      <c r="T468" t="s">
        <v>37</v>
      </c>
      <c r="U468" t="s">
        <v>37</v>
      </c>
      <c r="V468" s="6">
        <v>0.3</v>
      </c>
      <c r="W468" s="6">
        <v>0.3</v>
      </c>
      <c r="X468" s="6">
        <v>0.4</v>
      </c>
      <c r="Y468" s="11">
        <f>VLOOKUP(G468,'[1]historico puntos 2022-2025'!$A$2:$G$19,7,0)</f>
        <v>107</v>
      </c>
      <c r="Z468" t="s">
        <v>40</v>
      </c>
      <c r="AA468">
        <f t="shared" si="23"/>
        <v>466</v>
      </c>
    </row>
    <row r="469" spans="1:27" hidden="1" x14ac:dyDescent="0.3">
      <c r="A469" t="str">
        <f t="shared" si="21"/>
        <v>2024-Atlas</v>
      </c>
      <c r="B469" t="str">
        <f t="shared" si="22"/>
        <v>2024-Santos Laguna</v>
      </c>
      <c r="C469">
        <v>2024</v>
      </c>
      <c r="D469" t="s">
        <v>5</v>
      </c>
      <c r="E469" s="2">
        <v>3</v>
      </c>
      <c r="F469" s="2">
        <v>0</v>
      </c>
      <c r="G469" t="s">
        <v>11</v>
      </c>
      <c r="H469">
        <v>28.95</v>
      </c>
      <c r="I469">
        <v>2.9</v>
      </c>
      <c r="J469">
        <v>8.68</v>
      </c>
      <c r="K469">
        <v>8.68</v>
      </c>
      <c r="L469">
        <v>8.68</v>
      </c>
      <c r="M469" s="6" t="s">
        <v>37</v>
      </c>
      <c r="N469" s="6" t="s">
        <v>37</v>
      </c>
      <c r="O469" s="6" t="s">
        <v>37</v>
      </c>
      <c r="P469" s="10">
        <v>60</v>
      </c>
      <c r="Q469" t="s">
        <v>37</v>
      </c>
      <c r="R469" t="s">
        <v>37</v>
      </c>
      <c r="S469" t="s">
        <v>37</v>
      </c>
      <c r="T469" t="s">
        <v>37</v>
      </c>
      <c r="U469" t="s">
        <v>37</v>
      </c>
      <c r="V469" s="6">
        <v>0</v>
      </c>
      <c r="W469" s="6">
        <v>0.11764705882352941</v>
      </c>
      <c r="X469" s="6">
        <v>0.88235294117647056</v>
      </c>
      <c r="Y469" s="11">
        <f>VLOOKUP(G469,'[1]historico puntos 2022-2025'!$A$2:$G$19,7,0)</f>
        <v>46</v>
      </c>
      <c r="Z469" t="s">
        <v>38</v>
      </c>
      <c r="AA469">
        <f t="shared" si="23"/>
        <v>467</v>
      </c>
    </row>
    <row r="470" spans="1:27" hidden="1" x14ac:dyDescent="0.3">
      <c r="A470" t="str">
        <f t="shared" si="21"/>
        <v>2024-Santos Laguna</v>
      </c>
      <c r="B470" t="str">
        <f t="shared" si="22"/>
        <v>2024-Puebla</v>
      </c>
      <c r="C470">
        <v>2024</v>
      </c>
      <c r="D470" t="s">
        <v>11</v>
      </c>
      <c r="E470" s="2">
        <v>3</v>
      </c>
      <c r="F470" s="2">
        <v>0</v>
      </c>
      <c r="G470" t="s">
        <v>1</v>
      </c>
      <c r="H470">
        <v>35.9</v>
      </c>
      <c r="I470">
        <v>3.59</v>
      </c>
      <c r="J470">
        <v>10.77</v>
      </c>
      <c r="K470">
        <v>10.77</v>
      </c>
      <c r="L470">
        <v>10.77</v>
      </c>
      <c r="M470" s="6">
        <v>0.23529411764705882</v>
      </c>
      <c r="N470" s="6">
        <v>0.17647058823529413</v>
      </c>
      <c r="O470" s="6">
        <v>0.58823529411764708</v>
      </c>
      <c r="P470" s="10">
        <v>46</v>
      </c>
      <c r="Q470">
        <v>24.1</v>
      </c>
      <c r="R470">
        <v>2.41</v>
      </c>
      <c r="S470">
        <v>7.23</v>
      </c>
      <c r="T470">
        <v>7.23</v>
      </c>
      <c r="U470">
        <v>7.23</v>
      </c>
      <c r="V470" s="6">
        <v>0.11764705882352941</v>
      </c>
      <c r="W470" s="6">
        <v>0.17647058823529413</v>
      </c>
      <c r="X470" s="6">
        <v>0.70588235294117652</v>
      </c>
      <c r="Y470" s="11">
        <f>VLOOKUP(G470,'[1]historico puntos 2022-2025'!$A$2:$G$19,7,0)</f>
        <v>34</v>
      </c>
      <c r="Z470" t="s">
        <v>38</v>
      </c>
      <c r="AA470">
        <f t="shared" si="23"/>
        <v>468</v>
      </c>
    </row>
    <row r="471" spans="1:27" hidden="1" x14ac:dyDescent="0.3">
      <c r="A471" t="str">
        <f t="shared" si="21"/>
        <v>2024-León</v>
      </c>
      <c r="B471" t="str">
        <f t="shared" si="22"/>
        <v>2024-Santos Laguna</v>
      </c>
      <c r="C471">
        <v>2024</v>
      </c>
      <c r="D471" t="s">
        <v>36</v>
      </c>
      <c r="E471" s="2">
        <v>3</v>
      </c>
      <c r="F471" s="2">
        <v>2</v>
      </c>
      <c r="G471" t="s">
        <v>11</v>
      </c>
      <c r="H471">
        <v>29.55</v>
      </c>
      <c r="I471">
        <v>2.96</v>
      </c>
      <c r="J471">
        <v>8.8699999999999992</v>
      </c>
      <c r="K471">
        <v>8.8699999999999992</v>
      </c>
      <c r="L471">
        <v>8.8699999999999992</v>
      </c>
      <c r="M471" s="6">
        <v>0.3888888888888889</v>
      </c>
      <c r="N471" s="6">
        <v>0.3888888888888889</v>
      </c>
      <c r="O471" s="6">
        <v>0.22222222222222221</v>
      </c>
      <c r="P471" s="10">
        <v>87</v>
      </c>
      <c r="Q471" t="s">
        <v>37</v>
      </c>
      <c r="R471" t="s">
        <v>37</v>
      </c>
      <c r="S471" t="s">
        <v>37</v>
      </c>
      <c r="T471" t="s">
        <v>37</v>
      </c>
      <c r="U471" t="s">
        <v>37</v>
      </c>
      <c r="V471" s="6">
        <v>0</v>
      </c>
      <c r="W471" s="6">
        <v>0.11764705882352941</v>
      </c>
      <c r="X471" s="6">
        <v>0.88235294117647056</v>
      </c>
      <c r="Y471" s="11">
        <f>VLOOKUP(G471,'[1]historico puntos 2022-2025'!$A$2:$G$19,7,0)</f>
        <v>46</v>
      </c>
      <c r="Z471" t="s">
        <v>38</v>
      </c>
      <c r="AA471">
        <f t="shared" si="23"/>
        <v>469</v>
      </c>
    </row>
    <row r="472" spans="1:27" hidden="1" x14ac:dyDescent="0.3">
      <c r="A472" t="str">
        <f t="shared" si="21"/>
        <v>2024-Santos Laguna</v>
      </c>
      <c r="B472" t="str">
        <f t="shared" si="22"/>
        <v>2024-Monterrey</v>
      </c>
      <c r="C472">
        <v>2024</v>
      </c>
      <c r="D472" t="s">
        <v>11</v>
      </c>
      <c r="E472" s="2">
        <v>0</v>
      </c>
      <c r="F472" s="2">
        <v>2</v>
      </c>
      <c r="G472" t="s">
        <v>3</v>
      </c>
      <c r="H472">
        <v>35.9</v>
      </c>
      <c r="I472">
        <v>3.59</v>
      </c>
      <c r="J472">
        <v>10.77</v>
      </c>
      <c r="K472">
        <v>10.77</v>
      </c>
      <c r="L472">
        <v>10.77</v>
      </c>
      <c r="M472" s="6">
        <v>0.23529411764705882</v>
      </c>
      <c r="N472" s="6">
        <v>0.17647058823529413</v>
      </c>
      <c r="O472" s="6">
        <v>0.58823529411764708</v>
      </c>
      <c r="P472" s="10">
        <v>46</v>
      </c>
      <c r="Q472">
        <v>88.6</v>
      </c>
      <c r="R472">
        <v>8.86</v>
      </c>
      <c r="S472">
        <v>26.58</v>
      </c>
      <c r="T472">
        <v>26.58</v>
      </c>
      <c r="U472">
        <v>26.58</v>
      </c>
      <c r="V472" s="6">
        <v>0.38095238095238093</v>
      </c>
      <c r="W472" s="6">
        <v>0.23809523809523808</v>
      </c>
      <c r="X472" s="6">
        <v>0.38095238095238093</v>
      </c>
      <c r="Y472" s="11">
        <f>VLOOKUP(G472,'[1]historico puntos 2022-2025'!$A$2:$G$19,7,0)</f>
        <v>118</v>
      </c>
      <c r="Z472" t="s">
        <v>40</v>
      </c>
      <c r="AA472">
        <f t="shared" si="23"/>
        <v>470</v>
      </c>
    </row>
    <row r="473" spans="1:27" hidden="1" x14ac:dyDescent="0.3">
      <c r="A473" t="str">
        <f t="shared" si="21"/>
        <v>2024-Chivas</v>
      </c>
      <c r="B473" t="str">
        <f t="shared" si="22"/>
        <v>2024-Santos Laguna</v>
      </c>
      <c r="C473">
        <v>2024</v>
      </c>
      <c r="D473" t="s">
        <v>21</v>
      </c>
      <c r="E473" s="2">
        <v>1</v>
      </c>
      <c r="F473" s="2">
        <v>1</v>
      </c>
      <c r="G473" t="s">
        <v>11</v>
      </c>
      <c r="H473">
        <v>70.2</v>
      </c>
      <c r="I473">
        <v>7.02</v>
      </c>
      <c r="J473">
        <v>21.06</v>
      </c>
      <c r="K473">
        <v>21.06</v>
      </c>
      <c r="L473">
        <v>21.06</v>
      </c>
      <c r="M473" s="6">
        <v>0.44444444444444442</v>
      </c>
      <c r="N473" s="6">
        <v>0.33333333333333331</v>
      </c>
      <c r="O473" s="6">
        <v>0.22222222222222221</v>
      </c>
      <c r="P473" s="10">
        <v>99</v>
      </c>
      <c r="Q473" t="s">
        <v>37</v>
      </c>
      <c r="R473" t="s">
        <v>37</v>
      </c>
      <c r="S473" t="s">
        <v>37</v>
      </c>
      <c r="T473" t="s">
        <v>37</v>
      </c>
      <c r="U473" t="s">
        <v>37</v>
      </c>
      <c r="V473" s="6">
        <v>0</v>
      </c>
      <c r="W473" s="6">
        <v>0.11764705882352941</v>
      </c>
      <c r="X473" s="6">
        <v>0.88235294117647056</v>
      </c>
      <c r="Y473" s="11">
        <f>VLOOKUP(G473,'[1]historico puntos 2022-2025'!$A$2:$G$19,7,0)</f>
        <v>46</v>
      </c>
      <c r="Z473" t="s">
        <v>39</v>
      </c>
      <c r="AA473">
        <f t="shared" si="23"/>
        <v>471</v>
      </c>
    </row>
    <row r="474" spans="1:27" hidden="1" x14ac:dyDescent="0.3">
      <c r="A474" t="str">
        <f t="shared" si="21"/>
        <v>2023-Santos Laguna</v>
      </c>
      <c r="B474" t="str">
        <f t="shared" si="22"/>
        <v>2023-Mazatlán</v>
      </c>
      <c r="C474">
        <v>2023</v>
      </c>
      <c r="D474" t="s">
        <v>11</v>
      </c>
      <c r="E474" s="2">
        <v>2</v>
      </c>
      <c r="F474" s="2">
        <v>1</v>
      </c>
      <c r="G474" t="s">
        <v>20</v>
      </c>
      <c r="H474">
        <v>46</v>
      </c>
      <c r="I474">
        <v>4.5999999999999996</v>
      </c>
      <c r="J474">
        <v>13.8</v>
      </c>
      <c r="K474">
        <v>13.8</v>
      </c>
      <c r="L474">
        <v>13.8</v>
      </c>
      <c r="M474" s="6">
        <v>0.23529411764705882</v>
      </c>
      <c r="N474" s="6">
        <v>0.17647058823529413</v>
      </c>
      <c r="O474" s="6">
        <v>0.58823529411764708</v>
      </c>
      <c r="P474" s="10">
        <v>46</v>
      </c>
      <c r="Q474">
        <v>35.049999999999997</v>
      </c>
      <c r="R474">
        <v>3.5</v>
      </c>
      <c r="S474">
        <v>10.51</v>
      </c>
      <c r="T474">
        <v>10.51</v>
      </c>
      <c r="U474">
        <v>10.51</v>
      </c>
      <c r="V474" s="6">
        <v>5.8823529411764705E-2</v>
      </c>
      <c r="W474" s="6">
        <v>0.29411764705882354</v>
      </c>
      <c r="X474" s="6">
        <v>0.6470588235294118</v>
      </c>
      <c r="Y474" s="11">
        <f>VLOOKUP(G474,'[1]historico puntos 2022-2025'!$A$2:$G$19,7,0)</f>
        <v>40</v>
      </c>
      <c r="Z474" t="s">
        <v>38</v>
      </c>
      <c r="AA474">
        <f t="shared" si="23"/>
        <v>472</v>
      </c>
    </row>
    <row r="475" spans="1:27" hidden="1" x14ac:dyDescent="0.3">
      <c r="A475" t="str">
        <f t="shared" si="21"/>
        <v>2023-Atlético San Luis</v>
      </c>
      <c r="B475" t="str">
        <f t="shared" si="22"/>
        <v>2023-Santos Laguna</v>
      </c>
      <c r="C475">
        <v>2023</v>
      </c>
      <c r="D475" t="s">
        <v>15</v>
      </c>
      <c r="E475" s="2">
        <v>0</v>
      </c>
      <c r="F475" s="2">
        <v>2</v>
      </c>
      <c r="G475" t="s">
        <v>11</v>
      </c>
      <c r="H475">
        <v>35.85</v>
      </c>
      <c r="I475">
        <v>3.59</v>
      </c>
      <c r="J475">
        <v>10.77</v>
      </c>
      <c r="K475">
        <v>10.77</v>
      </c>
      <c r="L475">
        <v>10.77</v>
      </c>
      <c r="M475" s="6">
        <v>0.68421052631578949</v>
      </c>
      <c r="N475" s="6">
        <v>5.2631578947368418E-2</v>
      </c>
      <c r="O475" s="6">
        <v>0.26315789473684209</v>
      </c>
      <c r="P475" s="10">
        <v>59</v>
      </c>
      <c r="Q475" t="s">
        <v>37</v>
      </c>
      <c r="R475" t="s">
        <v>37</v>
      </c>
      <c r="S475" t="s">
        <v>37</v>
      </c>
      <c r="T475" t="s">
        <v>37</v>
      </c>
      <c r="U475" t="s">
        <v>37</v>
      </c>
      <c r="V475" s="6">
        <v>0</v>
      </c>
      <c r="W475" s="6">
        <v>0.11764705882352941</v>
      </c>
      <c r="X475" s="6">
        <v>0.88235294117647056</v>
      </c>
      <c r="Y475" s="11">
        <f>VLOOKUP(G475,'[1]historico puntos 2022-2025'!$A$2:$G$19,7,0)</f>
        <v>46</v>
      </c>
      <c r="Z475" t="s">
        <v>40</v>
      </c>
      <c r="AA475">
        <f t="shared" si="23"/>
        <v>473</v>
      </c>
    </row>
    <row r="476" spans="1:27" hidden="1" x14ac:dyDescent="0.3">
      <c r="A476" t="str">
        <f t="shared" si="21"/>
        <v>2023-Monterrey</v>
      </c>
      <c r="B476" t="str">
        <f t="shared" si="22"/>
        <v>2023-Santos Laguna</v>
      </c>
      <c r="C476">
        <v>2023</v>
      </c>
      <c r="D476" t="s">
        <v>3</v>
      </c>
      <c r="E476" s="2">
        <v>3</v>
      </c>
      <c r="F476" s="2">
        <v>0</v>
      </c>
      <c r="G476" t="s">
        <v>11</v>
      </c>
      <c r="H476">
        <v>88.1</v>
      </c>
      <c r="I476">
        <v>8.81</v>
      </c>
      <c r="J476">
        <v>26.43</v>
      </c>
      <c r="K476">
        <v>26.43</v>
      </c>
      <c r="L476">
        <v>26.43</v>
      </c>
      <c r="M476" s="6">
        <v>0.60869565217391308</v>
      </c>
      <c r="N476" s="6">
        <v>0.17391304347826086</v>
      </c>
      <c r="O476" s="6">
        <v>0.21739130434782608</v>
      </c>
      <c r="P476" s="10">
        <v>118</v>
      </c>
      <c r="Q476" t="s">
        <v>37</v>
      </c>
      <c r="R476" t="s">
        <v>37</v>
      </c>
      <c r="S476" t="s">
        <v>37</v>
      </c>
      <c r="T476" t="s">
        <v>37</v>
      </c>
      <c r="U476" t="s">
        <v>37</v>
      </c>
      <c r="V476" s="6">
        <v>0</v>
      </c>
      <c r="W476" s="6">
        <v>0.11764705882352941</v>
      </c>
      <c r="X476" s="6">
        <v>0.88235294117647056</v>
      </c>
      <c r="Y476" s="11">
        <f>VLOOKUP(G476,'[1]historico puntos 2022-2025'!$A$2:$G$19,7,0)</f>
        <v>46</v>
      </c>
      <c r="Z476" t="s">
        <v>38</v>
      </c>
      <c r="AA476">
        <f t="shared" si="23"/>
        <v>474</v>
      </c>
    </row>
    <row r="477" spans="1:27" hidden="1" x14ac:dyDescent="0.3">
      <c r="A477" t="str">
        <f t="shared" si="21"/>
        <v>2023-Santos Laguna</v>
      </c>
      <c r="B477" t="str">
        <f t="shared" si="22"/>
        <v>2023-Toluca</v>
      </c>
      <c r="C477">
        <v>2023</v>
      </c>
      <c r="D477" t="s">
        <v>11</v>
      </c>
      <c r="E477" s="2">
        <v>3</v>
      </c>
      <c r="F477" s="2">
        <v>1</v>
      </c>
      <c r="G477" t="s">
        <v>2</v>
      </c>
      <c r="H477">
        <v>46</v>
      </c>
      <c r="I477">
        <v>4.5999999999999996</v>
      </c>
      <c r="J477">
        <v>13.8</v>
      </c>
      <c r="K477">
        <v>13.8</v>
      </c>
      <c r="L477">
        <v>13.8</v>
      </c>
      <c r="M477" s="6">
        <v>0.23529411764705882</v>
      </c>
      <c r="N477" s="6">
        <v>0.17647058823529413</v>
      </c>
      <c r="O477" s="6">
        <v>0.58823529411764708</v>
      </c>
      <c r="P477" s="10">
        <v>46</v>
      </c>
      <c r="Q477">
        <v>66.2</v>
      </c>
      <c r="R477">
        <v>6.62</v>
      </c>
      <c r="S477">
        <v>19.86</v>
      </c>
      <c r="T477">
        <v>19.86</v>
      </c>
      <c r="U477">
        <v>19.86</v>
      </c>
      <c r="V477" s="6">
        <v>0.38095238095238093</v>
      </c>
      <c r="W477" s="6">
        <v>0.33333333333333331</v>
      </c>
      <c r="X477" s="6">
        <v>0.2857142857142857</v>
      </c>
      <c r="Y477" s="11">
        <f>VLOOKUP(G477,'[1]historico puntos 2022-2025'!$A$2:$G$19,7,0)</f>
        <v>118</v>
      </c>
      <c r="Z477" t="s">
        <v>38</v>
      </c>
      <c r="AA477">
        <f t="shared" si="23"/>
        <v>475</v>
      </c>
    </row>
    <row r="478" spans="1:27" hidden="1" x14ac:dyDescent="0.3">
      <c r="A478" t="str">
        <f t="shared" si="21"/>
        <v>2023-Mazatlán</v>
      </c>
      <c r="B478" t="str">
        <f t="shared" si="22"/>
        <v>2023-Santos Laguna</v>
      </c>
      <c r="C478">
        <v>2023</v>
      </c>
      <c r="D478" t="s">
        <v>20</v>
      </c>
      <c r="E478" s="2">
        <v>3</v>
      </c>
      <c r="F478" s="2">
        <v>1</v>
      </c>
      <c r="G478" t="s">
        <v>11</v>
      </c>
      <c r="H478">
        <v>35.049999999999997</v>
      </c>
      <c r="I478">
        <v>3.5</v>
      </c>
      <c r="J478">
        <v>10.51</v>
      </c>
      <c r="K478">
        <v>10.51</v>
      </c>
      <c r="L478">
        <v>10.51</v>
      </c>
      <c r="M478" s="6">
        <v>0.29411764705882354</v>
      </c>
      <c r="N478" s="6">
        <v>0.47058823529411764</v>
      </c>
      <c r="O478" s="6">
        <v>0.23529411764705882</v>
      </c>
      <c r="P478" s="10">
        <v>40</v>
      </c>
      <c r="Q478" t="s">
        <v>37</v>
      </c>
      <c r="R478" t="s">
        <v>37</v>
      </c>
      <c r="S478" t="s">
        <v>37</v>
      </c>
      <c r="T478" t="s">
        <v>37</v>
      </c>
      <c r="U478" t="s">
        <v>37</v>
      </c>
      <c r="V478" s="6">
        <v>0</v>
      </c>
      <c r="W478" s="6">
        <v>0.11764705882352941</v>
      </c>
      <c r="X478" s="6">
        <v>0.88235294117647056</v>
      </c>
      <c r="Y478" s="11">
        <f>VLOOKUP(G478,'[1]historico puntos 2022-2025'!$A$2:$G$19,7,0)</f>
        <v>46</v>
      </c>
      <c r="Z478" t="s">
        <v>38</v>
      </c>
      <c r="AA478">
        <f t="shared" si="23"/>
        <v>476</v>
      </c>
    </row>
    <row r="479" spans="1:27" hidden="1" x14ac:dyDescent="0.3">
      <c r="A479" t="str">
        <f t="shared" si="21"/>
        <v>2023-Santos Laguna</v>
      </c>
      <c r="B479" t="str">
        <f t="shared" si="22"/>
        <v>2023-Juarez</v>
      </c>
      <c r="C479">
        <v>2023</v>
      </c>
      <c r="D479" t="s">
        <v>11</v>
      </c>
      <c r="E479" s="2">
        <v>5</v>
      </c>
      <c r="F479" s="2">
        <v>1</v>
      </c>
      <c r="G479" t="s">
        <v>18</v>
      </c>
      <c r="H479">
        <v>46</v>
      </c>
      <c r="I479">
        <v>4.5999999999999996</v>
      </c>
      <c r="J479">
        <v>13.8</v>
      </c>
      <c r="K479">
        <v>13.8</v>
      </c>
      <c r="L479">
        <v>13.8</v>
      </c>
      <c r="M479" s="6">
        <v>0.23529411764705882</v>
      </c>
      <c r="N479" s="6">
        <v>0.17647058823529413</v>
      </c>
      <c r="O479" s="6">
        <v>0.58823529411764708</v>
      </c>
      <c r="P479" s="10">
        <v>46</v>
      </c>
      <c r="Q479" t="s">
        <v>37</v>
      </c>
      <c r="R479" t="s">
        <v>37</v>
      </c>
      <c r="S479" t="s">
        <v>37</v>
      </c>
      <c r="T479" t="s">
        <v>37</v>
      </c>
      <c r="U479" t="s">
        <v>37</v>
      </c>
      <c r="V479" s="6">
        <v>0.35294117647058826</v>
      </c>
      <c r="W479" s="6">
        <v>0.17647058823529413</v>
      </c>
      <c r="X479" s="6">
        <v>0.47058823529411764</v>
      </c>
      <c r="Y479" s="11">
        <f>VLOOKUP(G479,'[1]historico puntos 2022-2025'!$A$2:$G$19,7,0)</f>
        <v>55</v>
      </c>
      <c r="Z479" t="s">
        <v>38</v>
      </c>
      <c r="AA479">
        <f t="shared" si="23"/>
        <v>477</v>
      </c>
    </row>
    <row r="480" spans="1:27" hidden="1" x14ac:dyDescent="0.3">
      <c r="A480" t="str">
        <f t="shared" si="21"/>
        <v>2023-América</v>
      </c>
      <c r="B480" t="str">
        <f t="shared" si="22"/>
        <v>2023-Santos Laguna</v>
      </c>
      <c r="C480">
        <v>2023</v>
      </c>
      <c r="D480" t="s">
        <v>14</v>
      </c>
      <c r="E480" s="2">
        <v>4</v>
      </c>
      <c r="F480" s="2">
        <v>3</v>
      </c>
      <c r="G480" t="s">
        <v>11</v>
      </c>
      <c r="H480">
        <v>84.2</v>
      </c>
      <c r="I480">
        <v>8.42</v>
      </c>
      <c r="J480">
        <v>25.26</v>
      </c>
      <c r="K480">
        <v>25.26</v>
      </c>
      <c r="L480">
        <v>25.26</v>
      </c>
      <c r="M480" s="6">
        <v>0.65217391304347827</v>
      </c>
      <c r="N480" s="6">
        <v>0.21739130434782608</v>
      </c>
      <c r="O480" s="6">
        <v>0.13043478260869565</v>
      </c>
      <c r="P480" s="10">
        <v>133</v>
      </c>
      <c r="Q480" t="s">
        <v>37</v>
      </c>
      <c r="R480" t="s">
        <v>37</v>
      </c>
      <c r="S480" t="s">
        <v>37</v>
      </c>
      <c r="T480" t="s">
        <v>37</v>
      </c>
      <c r="U480" t="s">
        <v>37</v>
      </c>
      <c r="V480" s="6">
        <v>0</v>
      </c>
      <c r="W480" s="6">
        <v>0.11764705882352941</v>
      </c>
      <c r="X480" s="6">
        <v>0.88235294117647056</v>
      </c>
      <c r="Y480" s="11">
        <f>VLOOKUP(G480,'[1]historico puntos 2022-2025'!$A$2:$G$19,7,0)</f>
        <v>46</v>
      </c>
      <c r="Z480" t="s">
        <v>38</v>
      </c>
      <c r="AA480">
        <f t="shared" si="23"/>
        <v>478</v>
      </c>
    </row>
    <row r="481" spans="1:27" hidden="1" x14ac:dyDescent="0.3">
      <c r="A481" t="str">
        <f t="shared" si="21"/>
        <v>2023-Santos Laguna</v>
      </c>
      <c r="B481" t="str">
        <f t="shared" si="22"/>
        <v>2023-Xolos</v>
      </c>
      <c r="C481">
        <v>2023</v>
      </c>
      <c r="D481" t="s">
        <v>11</v>
      </c>
      <c r="E481" s="2">
        <v>2</v>
      </c>
      <c r="F481" s="2">
        <v>1</v>
      </c>
      <c r="G481" t="s">
        <v>19</v>
      </c>
      <c r="H481">
        <v>46</v>
      </c>
      <c r="I481">
        <v>4.5999999999999996</v>
      </c>
      <c r="J481">
        <v>13.8</v>
      </c>
      <c r="K481">
        <v>13.8</v>
      </c>
      <c r="L481">
        <v>13.8</v>
      </c>
      <c r="M481" s="6">
        <v>0.23529411764705882</v>
      </c>
      <c r="N481" s="6">
        <v>0.17647058823529413</v>
      </c>
      <c r="O481" s="6">
        <v>0.58823529411764708</v>
      </c>
      <c r="P481" s="10">
        <v>46</v>
      </c>
      <c r="Q481" t="s">
        <v>37</v>
      </c>
      <c r="R481" t="s">
        <v>37</v>
      </c>
      <c r="S481" t="s">
        <v>37</v>
      </c>
      <c r="T481" t="s">
        <v>37</v>
      </c>
      <c r="U481" t="s">
        <v>37</v>
      </c>
      <c r="V481" s="6">
        <v>0.27777777777777779</v>
      </c>
      <c r="W481" s="6">
        <v>0.22222222222222221</v>
      </c>
      <c r="X481" s="6">
        <v>0.5</v>
      </c>
      <c r="Y481" s="11">
        <f>VLOOKUP(G481,'[1]historico puntos 2022-2025'!$A$2:$G$19,7,0)</f>
        <v>49</v>
      </c>
      <c r="Z481" t="s">
        <v>38</v>
      </c>
      <c r="AA481">
        <f t="shared" si="23"/>
        <v>479</v>
      </c>
    </row>
    <row r="482" spans="1:27" hidden="1" x14ac:dyDescent="0.3">
      <c r="A482" t="str">
        <f t="shared" si="21"/>
        <v>2023-Santos Laguna</v>
      </c>
      <c r="B482" t="str">
        <f t="shared" si="22"/>
        <v>2023-Necaxa</v>
      </c>
      <c r="C482">
        <v>2023</v>
      </c>
      <c r="D482" t="s">
        <v>11</v>
      </c>
      <c r="E482" s="2">
        <v>2</v>
      </c>
      <c r="F482" s="2">
        <v>5</v>
      </c>
      <c r="G482" t="s">
        <v>4</v>
      </c>
      <c r="H482">
        <v>46</v>
      </c>
      <c r="I482">
        <v>4.5999999999999996</v>
      </c>
      <c r="J482">
        <v>13.8</v>
      </c>
      <c r="K482">
        <v>13.8</v>
      </c>
      <c r="L482">
        <v>13.8</v>
      </c>
      <c r="M482" s="6">
        <v>0.23529411764705882</v>
      </c>
      <c r="N482" s="6">
        <v>0.17647058823529413</v>
      </c>
      <c r="O482" s="6">
        <v>0.58823529411764708</v>
      </c>
      <c r="P482" s="10">
        <v>46</v>
      </c>
      <c r="Q482">
        <v>40</v>
      </c>
      <c r="R482">
        <v>4</v>
      </c>
      <c r="S482">
        <v>12</v>
      </c>
      <c r="T482">
        <v>12</v>
      </c>
      <c r="U482">
        <v>12</v>
      </c>
      <c r="V482" s="6">
        <v>0.27777777777777779</v>
      </c>
      <c r="W482" s="6">
        <v>0.27777777777777779</v>
      </c>
      <c r="X482" s="6">
        <v>0.44444444444444442</v>
      </c>
      <c r="Y482" s="11">
        <f>VLOOKUP(G482,'[1]historico puntos 2022-2025'!$A$2:$G$19,7,0)</f>
        <v>77</v>
      </c>
      <c r="Z482" t="s">
        <v>40</v>
      </c>
      <c r="AA482">
        <f t="shared" si="23"/>
        <v>480</v>
      </c>
    </row>
    <row r="483" spans="1:27" hidden="1" x14ac:dyDescent="0.3">
      <c r="A483" t="str">
        <f t="shared" si="21"/>
        <v>2023-Pachuca</v>
      </c>
      <c r="B483" t="str">
        <f t="shared" si="22"/>
        <v>2023-Santos Laguna</v>
      </c>
      <c r="C483">
        <v>2023</v>
      </c>
      <c r="D483" t="s">
        <v>0</v>
      </c>
      <c r="E483" s="2">
        <v>3</v>
      </c>
      <c r="F483" s="2">
        <v>2</v>
      </c>
      <c r="G483" t="s">
        <v>11</v>
      </c>
      <c r="H483">
        <v>51.25</v>
      </c>
      <c r="I483">
        <v>5.13</v>
      </c>
      <c r="J483">
        <v>15.38</v>
      </c>
      <c r="K483">
        <v>15.38</v>
      </c>
      <c r="L483">
        <v>15.38</v>
      </c>
      <c r="M483" s="6">
        <v>0.3888888888888889</v>
      </c>
      <c r="N483" s="6">
        <v>0.33333333333333331</v>
      </c>
      <c r="O483" s="6">
        <v>0.27777777777777779</v>
      </c>
      <c r="P483" s="10">
        <v>98</v>
      </c>
      <c r="Q483" t="s">
        <v>37</v>
      </c>
      <c r="R483" t="s">
        <v>37</v>
      </c>
      <c r="S483" t="s">
        <v>37</v>
      </c>
      <c r="T483" t="s">
        <v>37</v>
      </c>
      <c r="U483" t="s">
        <v>37</v>
      </c>
      <c r="V483" s="6">
        <v>0</v>
      </c>
      <c r="W483" s="6">
        <v>0.11764705882352941</v>
      </c>
      <c r="X483" s="6">
        <v>0.88235294117647056</v>
      </c>
      <c r="Y483" s="11">
        <f>VLOOKUP(G483,'[1]historico puntos 2022-2025'!$A$2:$G$19,7,0)</f>
        <v>46</v>
      </c>
      <c r="Z483" t="s">
        <v>38</v>
      </c>
      <c r="AA483">
        <f t="shared" si="23"/>
        <v>481</v>
      </c>
    </row>
    <row r="484" spans="1:27" hidden="1" x14ac:dyDescent="0.3">
      <c r="A484" t="str">
        <f t="shared" si="21"/>
        <v>2023-Santos Laguna</v>
      </c>
      <c r="B484" t="str">
        <f t="shared" si="22"/>
        <v>2023-Pumas</v>
      </c>
      <c r="C484">
        <v>2023</v>
      </c>
      <c r="D484" t="s">
        <v>11</v>
      </c>
      <c r="E484" s="2">
        <v>2</v>
      </c>
      <c r="F484" s="2">
        <v>1</v>
      </c>
      <c r="G484" t="s">
        <v>16</v>
      </c>
      <c r="H484">
        <v>46</v>
      </c>
      <c r="I484">
        <v>4.5999999999999996</v>
      </c>
      <c r="J484">
        <v>13.8</v>
      </c>
      <c r="K484">
        <v>13.8</v>
      </c>
      <c r="L484">
        <v>13.8</v>
      </c>
      <c r="M484" s="6">
        <v>0.23529411764705882</v>
      </c>
      <c r="N484" s="6">
        <v>0.17647058823529413</v>
      </c>
      <c r="O484" s="6">
        <v>0.58823529411764708</v>
      </c>
      <c r="P484" s="10">
        <v>46</v>
      </c>
      <c r="Q484" t="s">
        <v>37</v>
      </c>
      <c r="R484" t="s">
        <v>37</v>
      </c>
      <c r="S484" t="s">
        <v>37</v>
      </c>
      <c r="T484" t="s">
        <v>37</v>
      </c>
      <c r="U484" t="s">
        <v>37</v>
      </c>
      <c r="V484" s="6">
        <v>0.3</v>
      </c>
      <c r="W484" s="6">
        <v>0.25</v>
      </c>
      <c r="X484" s="6">
        <v>0.45</v>
      </c>
      <c r="Y484" s="11">
        <f>VLOOKUP(G484,'[1]historico puntos 2022-2025'!$A$2:$G$19,7,0)</f>
        <v>75</v>
      </c>
      <c r="Z484" t="s">
        <v>38</v>
      </c>
      <c r="AA484">
        <f t="shared" si="23"/>
        <v>482</v>
      </c>
    </row>
    <row r="485" spans="1:27" x14ac:dyDescent="0.3">
      <c r="A485" t="str">
        <f t="shared" si="21"/>
        <v>2023-Tigres</v>
      </c>
      <c r="B485" t="str">
        <f t="shared" si="22"/>
        <v>2023-Santos Laguna</v>
      </c>
      <c r="C485">
        <v>2023</v>
      </c>
      <c r="D485" t="s">
        <v>17</v>
      </c>
      <c r="E485" s="2">
        <v>3</v>
      </c>
      <c r="F485" s="2">
        <v>2</v>
      </c>
      <c r="G485" t="s">
        <v>11</v>
      </c>
      <c r="H485">
        <v>67.599999999999994</v>
      </c>
      <c r="I485">
        <v>6.76</v>
      </c>
      <c r="J485">
        <v>20.28</v>
      </c>
      <c r="K485">
        <v>20.28</v>
      </c>
      <c r="L485">
        <v>20.28</v>
      </c>
      <c r="M485" s="6">
        <v>0.7</v>
      </c>
      <c r="N485" s="6">
        <v>0.25</v>
      </c>
      <c r="O485" s="6">
        <v>0.05</v>
      </c>
      <c r="P485" s="10">
        <v>107</v>
      </c>
      <c r="Q485" t="s">
        <v>37</v>
      </c>
      <c r="R485" t="s">
        <v>37</v>
      </c>
      <c r="S485" t="s">
        <v>37</v>
      </c>
      <c r="T485" t="s">
        <v>37</v>
      </c>
      <c r="U485" t="s">
        <v>37</v>
      </c>
      <c r="V485" s="6">
        <v>0</v>
      </c>
      <c r="W485" s="6">
        <v>0.11764705882352941</v>
      </c>
      <c r="X485" s="6">
        <v>0.88235294117647056</v>
      </c>
      <c r="Y485" s="11">
        <f>VLOOKUP(G485,'[1]historico puntos 2022-2025'!$A$2:$G$19,7,0)</f>
        <v>46</v>
      </c>
      <c r="Z485" t="s">
        <v>38</v>
      </c>
      <c r="AA485">
        <f t="shared" si="23"/>
        <v>483</v>
      </c>
    </row>
    <row r="486" spans="1:27" hidden="1" x14ac:dyDescent="0.3">
      <c r="A486" t="str">
        <f t="shared" si="21"/>
        <v>2023-Santos Laguna</v>
      </c>
      <c r="B486" t="str">
        <f t="shared" si="22"/>
        <v>2023-Chivas</v>
      </c>
      <c r="C486">
        <v>2023</v>
      </c>
      <c r="D486" t="s">
        <v>11</v>
      </c>
      <c r="E486" s="2">
        <v>2</v>
      </c>
      <c r="F486" s="2">
        <v>1</v>
      </c>
      <c r="G486" t="s">
        <v>21</v>
      </c>
      <c r="H486">
        <v>46</v>
      </c>
      <c r="I486">
        <v>4.5999999999999996</v>
      </c>
      <c r="J486">
        <v>13.8</v>
      </c>
      <c r="K486">
        <v>13.8</v>
      </c>
      <c r="L486">
        <v>13.8</v>
      </c>
      <c r="M486" s="6">
        <v>0.23529411764705882</v>
      </c>
      <c r="N486" s="6">
        <v>0.17647058823529413</v>
      </c>
      <c r="O486" s="6">
        <v>0.58823529411764708</v>
      </c>
      <c r="P486" s="10">
        <v>46</v>
      </c>
      <c r="Q486" t="s">
        <v>37</v>
      </c>
      <c r="R486" t="s">
        <v>37</v>
      </c>
      <c r="S486" t="s">
        <v>37</v>
      </c>
      <c r="T486" t="s">
        <v>37</v>
      </c>
      <c r="U486" t="s">
        <v>37</v>
      </c>
      <c r="V486" s="6">
        <v>0.23529411764705882</v>
      </c>
      <c r="W486" s="6">
        <v>0.23529411764705882</v>
      </c>
      <c r="X486" s="6">
        <v>0.52941176470588236</v>
      </c>
      <c r="Y486" s="11">
        <f>VLOOKUP(G486,'[1]historico puntos 2022-2025'!$A$2:$G$19,7,0)</f>
        <v>99</v>
      </c>
      <c r="Z486" t="s">
        <v>38</v>
      </c>
      <c r="AA486">
        <f t="shared" si="23"/>
        <v>484</v>
      </c>
    </row>
    <row r="487" spans="1:27" hidden="1" x14ac:dyDescent="0.3">
      <c r="A487" t="str">
        <f t="shared" si="21"/>
        <v>2023-Cruz Azul</v>
      </c>
      <c r="B487" t="str">
        <f t="shared" si="22"/>
        <v>2023-Santos Laguna</v>
      </c>
      <c r="C487">
        <v>2023</v>
      </c>
      <c r="D487" t="s">
        <v>10</v>
      </c>
      <c r="E487" s="2">
        <v>2</v>
      </c>
      <c r="F487" s="2">
        <v>2</v>
      </c>
      <c r="G487" t="s">
        <v>11</v>
      </c>
      <c r="H487">
        <v>72.2</v>
      </c>
      <c r="I487">
        <v>7.22</v>
      </c>
      <c r="J487">
        <v>21.66</v>
      </c>
      <c r="K487">
        <v>21.66</v>
      </c>
      <c r="L487">
        <v>21.66</v>
      </c>
      <c r="M487" s="6">
        <v>0.7142857142857143</v>
      </c>
      <c r="N487" s="6">
        <v>0.23809523809523808</v>
      </c>
      <c r="O487" s="6">
        <v>4.7619047619047616E-2</v>
      </c>
      <c r="P487" s="10">
        <v>107</v>
      </c>
      <c r="Q487" t="s">
        <v>37</v>
      </c>
      <c r="R487" t="s">
        <v>37</v>
      </c>
      <c r="S487" t="s">
        <v>37</v>
      </c>
      <c r="T487" t="s">
        <v>37</v>
      </c>
      <c r="U487" t="s">
        <v>37</v>
      </c>
      <c r="V487" s="6">
        <v>0</v>
      </c>
      <c r="W487" s="6">
        <v>0.11764705882352941</v>
      </c>
      <c r="X487" s="6">
        <v>0.88235294117647056</v>
      </c>
      <c r="Y487" s="11">
        <f>VLOOKUP(G487,'[1]historico puntos 2022-2025'!$A$2:$G$19,7,0)</f>
        <v>46</v>
      </c>
      <c r="Z487" t="s">
        <v>39</v>
      </c>
      <c r="AA487">
        <f t="shared" si="23"/>
        <v>485</v>
      </c>
    </row>
    <row r="488" spans="1:27" hidden="1" x14ac:dyDescent="0.3">
      <c r="A488" t="str">
        <f t="shared" si="21"/>
        <v>2023-Santos Laguna</v>
      </c>
      <c r="B488" t="str">
        <f t="shared" si="22"/>
        <v>2023-Atlas</v>
      </c>
      <c r="C488">
        <v>2023</v>
      </c>
      <c r="D488" t="s">
        <v>11</v>
      </c>
      <c r="E488" s="2">
        <v>0</v>
      </c>
      <c r="F488" s="2">
        <v>0</v>
      </c>
      <c r="G488" t="s">
        <v>5</v>
      </c>
      <c r="H488">
        <v>46</v>
      </c>
      <c r="I488">
        <v>4.5999999999999996</v>
      </c>
      <c r="J488">
        <v>13.8</v>
      </c>
      <c r="K488">
        <v>13.8</v>
      </c>
      <c r="L488">
        <v>13.8</v>
      </c>
      <c r="M488" s="6">
        <v>0.23529411764705882</v>
      </c>
      <c r="N488" s="6">
        <v>0.17647058823529413</v>
      </c>
      <c r="O488" s="6">
        <v>0.58823529411764708</v>
      </c>
      <c r="P488" s="10">
        <v>46</v>
      </c>
      <c r="Q488">
        <v>30.7</v>
      </c>
      <c r="R488">
        <v>3.07</v>
      </c>
      <c r="S488">
        <v>9.2100000000000009</v>
      </c>
      <c r="T488">
        <v>9.2100000000000009</v>
      </c>
      <c r="U488">
        <v>9.2100000000000009</v>
      </c>
      <c r="V488" s="6">
        <v>0.26315789473684209</v>
      </c>
      <c r="W488" s="6">
        <v>0.31578947368421051</v>
      </c>
      <c r="X488" s="6">
        <v>0.42105263157894735</v>
      </c>
      <c r="Y488" s="11">
        <f>VLOOKUP(G488,'[1]historico puntos 2022-2025'!$A$2:$G$19,7,0)</f>
        <v>60</v>
      </c>
      <c r="Z488" t="s">
        <v>39</v>
      </c>
      <c r="AA488">
        <f t="shared" si="23"/>
        <v>486</v>
      </c>
    </row>
    <row r="489" spans="1:27" hidden="1" x14ac:dyDescent="0.3">
      <c r="A489" t="str">
        <f t="shared" si="21"/>
        <v>2023-Puebla</v>
      </c>
      <c r="B489" t="str">
        <f t="shared" si="22"/>
        <v>2023-Santos Laguna</v>
      </c>
      <c r="C489">
        <v>2023</v>
      </c>
      <c r="D489" t="s">
        <v>1</v>
      </c>
      <c r="E489" s="2">
        <v>2</v>
      </c>
      <c r="F489" s="2">
        <v>3</v>
      </c>
      <c r="G489" t="s">
        <v>11</v>
      </c>
      <c r="H489">
        <v>26.7</v>
      </c>
      <c r="I489">
        <v>2.67</v>
      </c>
      <c r="J489">
        <v>8.01</v>
      </c>
      <c r="K489">
        <v>8.01</v>
      </c>
      <c r="L489">
        <v>8.01</v>
      </c>
      <c r="M489" s="6">
        <v>0.23529411764705882</v>
      </c>
      <c r="N489" s="6">
        <v>0.11764705882352941</v>
      </c>
      <c r="O489" s="6">
        <v>0.6470588235294118</v>
      </c>
      <c r="P489" s="10">
        <v>34</v>
      </c>
      <c r="Q489" t="s">
        <v>37</v>
      </c>
      <c r="R489" t="s">
        <v>37</v>
      </c>
      <c r="S489" t="s">
        <v>37</v>
      </c>
      <c r="T489" t="s">
        <v>37</v>
      </c>
      <c r="U489" t="s">
        <v>37</v>
      </c>
      <c r="V489" s="6">
        <v>0</v>
      </c>
      <c r="W489" s="6">
        <v>0.11764705882352941</v>
      </c>
      <c r="X489" s="6">
        <v>0.88235294117647056</v>
      </c>
      <c r="Y489" s="11">
        <f>VLOOKUP(G489,'[1]historico puntos 2022-2025'!$A$2:$G$19,7,0)</f>
        <v>46</v>
      </c>
      <c r="Z489" t="s">
        <v>40</v>
      </c>
      <c r="AA489">
        <f t="shared" si="23"/>
        <v>487</v>
      </c>
    </row>
    <row r="490" spans="1:27" hidden="1" x14ac:dyDescent="0.3">
      <c r="A490" t="str">
        <f t="shared" si="21"/>
        <v>2023-Santos Laguna</v>
      </c>
      <c r="B490" t="str">
        <f t="shared" si="22"/>
        <v>2023-Querétaro</v>
      </c>
      <c r="C490">
        <v>2023</v>
      </c>
      <c r="D490" t="s">
        <v>11</v>
      </c>
      <c r="E490" s="2">
        <v>0</v>
      </c>
      <c r="F490" s="2">
        <v>2</v>
      </c>
      <c r="G490" t="s">
        <v>22</v>
      </c>
      <c r="H490">
        <v>46</v>
      </c>
      <c r="I490">
        <v>4.5999999999999996</v>
      </c>
      <c r="J490">
        <v>13.8</v>
      </c>
      <c r="K490">
        <v>13.8</v>
      </c>
      <c r="L490">
        <v>13.8</v>
      </c>
      <c r="M490" s="6">
        <v>0.23529411764705882</v>
      </c>
      <c r="N490" s="6">
        <v>0.17647058823529413</v>
      </c>
      <c r="O490" s="6">
        <v>0.58823529411764708</v>
      </c>
      <c r="P490" s="10">
        <v>46</v>
      </c>
      <c r="Q490" t="s">
        <v>37</v>
      </c>
      <c r="R490" t="s">
        <v>37</v>
      </c>
      <c r="S490" t="s">
        <v>37</v>
      </c>
      <c r="T490" t="s">
        <v>37</v>
      </c>
      <c r="U490" t="s">
        <v>37</v>
      </c>
      <c r="V490" s="6">
        <v>0.17647058823529413</v>
      </c>
      <c r="W490" s="6">
        <v>0.17647058823529413</v>
      </c>
      <c r="X490" s="6">
        <v>0.6470588235294118</v>
      </c>
      <c r="Y490" s="11">
        <f>VLOOKUP(G490,'[1]historico puntos 2022-2025'!$A$2:$G$19,7,0)</f>
        <v>64</v>
      </c>
      <c r="Z490" t="s">
        <v>40</v>
      </c>
      <c r="AA490">
        <f t="shared" si="23"/>
        <v>488</v>
      </c>
    </row>
    <row r="491" spans="1:27" hidden="1" x14ac:dyDescent="0.3">
      <c r="A491" t="str">
        <f t="shared" si="21"/>
        <v>2024-Monterrey</v>
      </c>
      <c r="B491" t="str">
        <f t="shared" si="22"/>
        <v>2024-Tigres</v>
      </c>
      <c r="C491">
        <v>2024</v>
      </c>
      <c r="D491" t="s">
        <v>3</v>
      </c>
      <c r="E491" s="2">
        <v>1</v>
      </c>
      <c r="F491" s="2">
        <v>1</v>
      </c>
      <c r="G491" t="s">
        <v>17</v>
      </c>
      <c r="H491">
        <v>88.6</v>
      </c>
      <c r="I491">
        <v>8.86</v>
      </c>
      <c r="J491">
        <v>26.58</v>
      </c>
      <c r="K491">
        <v>26.58</v>
      </c>
      <c r="L491">
        <v>26.58</v>
      </c>
      <c r="M491" s="6">
        <v>0.60869565217391308</v>
      </c>
      <c r="N491" s="6">
        <v>0.17391304347826086</v>
      </c>
      <c r="O491" s="6">
        <v>0.21739130434782608</v>
      </c>
      <c r="P491" s="10">
        <v>118</v>
      </c>
      <c r="Q491" t="s">
        <v>37</v>
      </c>
      <c r="R491" t="s">
        <v>37</v>
      </c>
      <c r="S491" t="s">
        <v>37</v>
      </c>
      <c r="T491" t="s">
        <v>37</v>
      </c>
      <c r="U491" t="s">
        <v>37</v>
      </c>
      <c r="V491" s="6">
        <v>0.3</v>
      </c>
      <c r="W491" s="6">
        <v>0.3</v>
      </c>
      <c r="X491" s="6">
        <v>0.4</v>
      </c>
      <c r="Y491" s="11">
        <f>VLOOKUP(G491,'[1]historico puntos 2022-2025'!$A$2:$G$19,7,0)</f>
        <v>107</v>
      </c>
      <c r="Z491" t="s">
        <v>39</v>
      </c>
      <c r="AA491">
        <f t="shared" si="23"/>
        <v>489</v>
      </c>
    </row>
    <row r="492" spans="1:27" x14ac:dyDescent="0.3">
      <c r="A492" t="str">
        <f t="shared" si="21"/>
        <v>2024-Tigres</v>
      </c>
      <c r="B492" t="str">
        <f t="shared" si="22"/>
        <v>2024-Monterrey</v>
      </c>
      <c r="C492">
        <v>2024</v>
      </c>
      <c r="D492" t="s">
        <v>17</v>
      </c>
      <c r="E492" s="2">
        <v>1</v>
      </c>
      <c r="F492" s="2">
        <v>2</v>
      </c>
      <c r="G492" t="s">
        <v>3</v>
      </c>
      <c r="H492">
        <v>67</v>
      </c>
      <c r="I492">
        <v>6.7</v>
      </c>
      <c r="J492">
        <v>20.100000000000001</v>
      </c>
      <c r="K492">
        <v>20.100000000000001</v>
      </c>
      <c r="L492">
        <v>20.100000000000001</v>
      </c>
      <c r="M492" s="6">
        <v>0.7</v>
      </c>
      <c r="N492" s="6">
        <v>0.25</v>
      </c>
      <c r="O492" s="6">
        <v>0.05</v>
      </c>
      <c r="P492" s="10">
        <v>107</v>
      </c>
      <c r="Q492">
        <v>88.6</v>
      </c>
      <c r="R492">
        <v>8.86</v>
      </c>
      <c r="S492">
        <v>26.58</v>
      </c>
      <c r="T492">
        <v>26.58</v>
      </c>
      <c r="U492">
        <v>26.58</v>
      </c>
      <c r="V492" s="6">
        <v>0.38095238095238093</v>
      </c>
      <c r="W492" s="6">
        <v>0.23809523809523808</v>
      </c>
      <c r="X492" s="6">
        <v>0.38095238095238093</v>
      </c>
      <c r="Y492" s="11">
        <f>VLOOKUP(G492,'[1]historico puntos 2022-2025'!$A$2:$G$19,7,0)</f>
        <v>118</v>
      </c>
      <c r="Z492" t="s">
        <v>40</v>
      </c>
      <c r="AA492">
        <f t="shared" si="23"/>
        <v>490</v>
      </c>
    </row>
    <row r="493" spans="1:27" x14ac:dyDescent="0.3">
      <c r="A493" t="str">
        <f t="shared" si="21"/>
        <v>2024-Tigres</v>
      </c>
      <c r="B493" t="str">
        <f t="shared" si="22"/>
        <v>2024-Xolos</v>
      </c>
      <c r="C493">
        <v>2024</v>
      </c>
      <c r="D493" t="s">
        <v>17</v>
      </c>
      <c r="E493" s="2">
        <v>4</v>
      </c>
      <c r="F493" s="2">
        <v>1</v>
      </c>
      <c r="G493" t="s">
        <v>19</v>
      </c>
      <c r="H493">
        <v>67</v>
      </c>
      <c r="I493">
        <v>6.7</v>
      </c>
      <c r="J493">
        <v>20.100000000000001</v>
      </c>
      <c r="K493">
        <v>20.100000000000001</v>
      </c>
      <c r="L493">
        <v>20.100000000000001</v>
      </c>
      <c r="M493" s="6">
        <v>0.7</v>
      </c>
      <c r="N493" s="6">
        <v>0.25</v>
      </c>
      <c r="O493" s="6">
        <v>0.05</v>
      </c>
      <c r="P493" s="10">
        <v>107</v>
      </c>
      <c r="Q493">
        <v>39.15</v>
      </c>
      <c r="R493">
        <v>3.92</v>
      </c>
      <c r="S493">
        <v>11.75</v>
      </c>
      <c r="T493">
        <v>11.75</v>
      </c>
      <c r="U493">
        <v>11.75</v>
      </c>
      <c r="V493" s="6">
        <v>0.27777777777777779</v>
      </c>
      <c r="W493" s="6">
        <v>0.22222222222222221</v>
      </c>
      <c r="X493" s="6">
        <v>0.5</v>
      </c>
      <c r="Y493" s="11">
        <f>VLOOKUP(G493,'[1]historico puntos 2022-2025'!$A$2:$G$19,7,0)</f>
        <v>49</v>
      </c>
      <c r="Z493" t="s">
        <v>38</v>
      </c>
      <c r="AA493">
        <f t="shared" si="23"/>
        <v>491</v>
      </c>
    </row>
    <row r="494" spans="1:27" x14ac:dyDescent="0.3">
      <c r="A494" t="str">
        <f t="shared" si="21"/>
        <v>2024-Tigres</v>
      </c>
      <c r="B494" t="str">
        <f t="shared" si="22"/>
        <v>2024-Necaxa</v>
      </c>
      <c r="C494">
        <v>2024</v>
      </c>
      <c r="D494" t="s">
        <v>17</v>
      </c>
      <c r="E494" s="2">
        <v>5</v>
      </c>
      <c r="F494" s="2">
        <v>2</v>
      </c>
      <c r="G494" t="s">
        <v>4</v>
      </c>
      <c r="H494">
        <v>67</v>
      </c>
      <c r="I494">
        <v>6.7</v>
      </c>
      <c r="J494">
        <v>20.100000000000001</v>
      </c>
      <c r="K494">
        <v>20.100000000000001</v>
      </c>
      <c r="L494">
        <v>20.100000000000001</v>
      </c>
      <c r="M494" s="6">
        <v>0.7</v>
      </c>
      <c r="N494" s="6">
        <v>0.25</v>
      </c>
      <c r="O494" s="6">
        <v>0.05</v>
      </c>
      <c r="P494" s="10">
        <v>107</v>
      </c>
      <c r="Q494">
        <v>38.5</v>
      </c>
      <c r="R494">
        <v>3.85</v>
      </c>
      <c r="S494">
        <v>11.55</v>
      </c>
      <c r="T494">
        <v>11.55</v>
      </c>
      <c r="U494">
        <v>11.55</v>
      </c>
      <c r="V494" s="6">
        <v>0.27777777777777779</v>
      </c>
      <c r="W494" s="6">
        <v>0.27777777777777779</v>
      </c>
      <c r="X494" s="6">
        <v>0.44444444444444442</v>
      </c>
      <c r="Y494" s="11">
        <f>VLOOKUP(G494,'[1]historico puntos 2022-2025'!$A$2:$G$19,7,0)</f>
        <v>77</v>
      </c>
      <c r="Z494" t="s">
        <v>38</v>
      </c>
      <c r="AA494">
        <f t="shared" si="23"/>
        <v>492</v>
      </c>
    </row>
    <row r="495" spans="1:27" s="12" customFormat="1" hidden="1" x14ac:dyDescent="0.3">
      <c r="A495" s="12" t="str">
        <f t="shared" si="21"/>
        <v>2024-Monterrey</v>
      </c>
      <c r="B495" s="12" t="str">
        <f t="shared" si="22"/>
        <v>2024-Tigres</v>
      </c>
      <c r="C495" s="12">
        <v>2024</v>
      </c>
      <c r="D495" s="12" t="s">
        <v>3</v>
      </c>
      <c r="E495" s="13">
        <v>3</v>
      </c>
      <c r="F495" s="13">
        <v>3</v>
      </c>
      <c r="G495" s="12" t="s">
        <v>17</v>
      </c>
      <c r="H495" s="12">
        <v>88.6</v>
      </c>
      <c r="I495" s="12">
        <v>8.86</v>
      </c>
      <c r="J495" s="12">
        <v>26.58</v>
      </c>
      <c r="K495" s="12">
        <v>26.58</v>
      </c>
      <c r="L495" s="12">
        <v>26.58</v>
      </c>
      <c r="M495" s="14">
        <v>0.60869565217391308</v>
      </c>
      <c r="N495" s="14">
        <v>0.17391304347826086</v>
      </c>
      <c r="O495" s="14">
        <v>0.21739130434782608</v>
      </c>
      <c r="P495" s="15">
        <v>118</v>
      </c>
      <c r="Q495" s="12" t="s">
        <v>37</v>
      </c>
      <c r="R495" s="12" t="s">
        <v>37</v>
      </c>
      <c r="S495" s="12" t="s">
        <v>37</v>
      </c>
      <c r="T495" s="12" t="s">
        <v>37</v>
      </c>
      <c r="U495" s="12" t="s">
        <v>37</v>
      </c>
      <c r="V495" s="14">
        <v>0.3</v>
      </c>
      <c r="W495" s="14">
        <v>0.3</v>
      </c>
      <c r="X495" s="14">
        <v>0.4</v>
      </c>
      <c r="Y495" s="16">
        <f>VLOOKUP(G495,'[1]historico puntos 2022-2025'!$A$2:$G$19,7,0)</f>
        <v>107</v>
      </c>
      <c r="Z495" s="12" t="s">
        <v>39</v>
      </c>
      <c r="AA495" s="12">
        <f t="shared" si="23"/>
        <v>493</v>
      </c>
    </row>
    <row r="496" spans="1:27" x14ac:dyDescent="0.3">
      <c r="A496" t="str">
        <f t="shared" si="21"/>
        <v>2024-Tigres</v>
      </c>
      <c r="B496" t="str">
        <f t="shared" si="22"/>
        <v>2024-Pachuca</v>
      </c>
      <c r="C496">
        <v>2024</v>
      </c>
      <c r="D496" t="s">
        <v>17</v>
      </c>
      <c r="E496" s="2">
        <v>0</v>
      </c>
      <c r="F496" s="2">
        <v>3</v>
      </c>
      <c r="G496" t="s">
        <v>0</v>
      </c>
      <c r="H496">
        <v>67</v>
      </c>
      <c r="I496">
        <v>6.7</v>
      </c>
      <c r="J496">
        <v>20.100000000000001</v>
      </c>
      <c r="K496">
        <v>20.100000000000001</v>
      </c>
      <c r="L496">
        <v>20.100000000000001</v>
      </c>
      <c r="M496" s="6">
        <v>0.7</v>
      </c>
      <c r="N496" s="6">
        <v>0.25</v>
      </c>
      <c r="O496" s="6">
        <v>0.05</v>
      </c>
      <c r="P496" s="10">
        <v>107</v>
      </c>
      <c r="Q496">
        <v>56.6</v>
      </c>
      <c r="R496">
        <v>5.66</v>
      </c>
      <c r="S496">
        <v>16.98</v>
      </c>
      <c r="T496">
        <v>16.98</v>
      </c>
      <c r="U496">
        <v>16.98</v>
      </c>
      <c r="V496" s="6">
        <v>0.26315789473684209</v>
      </c>
      <c r="W496" s="6">
        <v>0.15789473684210525</v>
      </c>
      <c r="X496" s="6">
        <v>0.57894736842105265</v>
      </c>
      <c r="Y496" s="11">
        <f>VLOOKUP(G496,'[1]historico puntos 2022-2025'!$A$2:$G$19,7,0)</f>
        <v>98</v>
      </c>
      <c r="Z496" t="s">
        <v>40</v>
      </c>
      <c r="AA496">
        <f t="shared" si="23"/>
        <v>494</v>
      </c>
    </row>
    <row r="497" spans="1:27" hidden="1" x14ac:dyDescent="0.3">
      <c r="A497" t="str">
        <f t="shared" si="21"/>
        <v>2024-Puebla</v>
      </c>
      <c r="B497" t="str">
        <f t="shared" si="22"/>
        <v>2024-Tigres</v>
      </c>
      <c r="C497">
        <v>2024</v>
      </c>
      <c r="D497" t="s">
        <v>1</v>
      </c>
      <c r="E497" s="2">
        <v>2</v>
      </c>
      <c r="F497" s="2">
        <v>3</v>
      </c>
      <c r="G497" t="s">
        <v>17</v>
      </c>
      <c r="H497">
        <v>24.1</v>
      </c>
      <c r="I497">
        <v>2.41</v>
      </c>
      <c r="J497">
        <v>7.23</v>
      </c>
      <c r="K497">
        <v>7.23</v>
      </c>
      <c r="L497">
        <v>7.23</v>
      </c>
      <c r="M497" s="6">
        <v>0.23529411764705882</v>
      </c>
      <c r="N497" s="6">
        <v>0.11764705882352941</v>
      </c>
      <c r="O497" s="6">
        <v>0.6470588235294118</v>
      </c>
      <c r="P497" s="10">
        <v>34</v>
      </c>
      <c r="Q497" t="s">
        <v>37</v>
      </c>
      <c r="R497" t="s">
        <v>37</v>
      </c>
      <c r="S497" t="s">
        <v>37</v>
      </c>
      <c r="T497" t="s">
        <v>37</v>
      </c>
      <c r="U497" t="s">
        <v>37</v>
      </c>
      <c r="V497" s="6">
        <v>0.3</v>
      </c>
      <c r="W497" s="6">
        <v>0.3</v>
      </c>
      <c r="X497" s="6">
        <v>0.4</v>
      </c>
      <c r="Y497" s="11">
        <f>VLOOKUP(G497,'[1]historico puntos 2022-2025'!$A$2:$G$19,7,0)</f>
        <v>107</v>
      </c>
      <c r="Z497" t="s">
        <v>40</v>
      </c>
      <c r="AA497">
        <f t="shared" si="23"/>
        <v>495</v>
      </c>
    </row>
    <row r="498" spans="1:27" x14ac:dyDescent="0.3">
      <c r="A498" t="str">
        <f t="shared" si="21"/>
        <v>2024-Tigres</v>
      </c>
      <c r="B498" t="str">
        <f t="shared" si="22"/>
        <v>2024-Mazatlán</v>
      </c>
      <c r="C498">
        <v>2024</v>
      </c>
      <c r="D498" t="s">
        <v>17</v>
      </c>
      <c r="E498" s="2">
        <v>5</v>
      </c>
      <c r="F498" s="2">
        <v>1</v>
      </c>
      <c r="G498" t="s">
        <v>20</v>
      </c>
      <c r="H498">
        <v>67</v>
      </c>
      <c r="I498">
        <v>6.7</v>
      </c>
      <c r="J498">
        <v>20.100000000000001</v>
      </c>
      <c r="K498">
        <v>20.100000000000001</v>
      </c>
      <c r="L498">
        <v>20.100000000000001</v>
      </c>
      <c r="M498" s="6">
        <v>0.7</v>
      </c>
      <c r="N498" s="6">
        <v>0.25</v>
      </c>
      <c r="O498" s="6">
        <v>0.05</v>
      </c>
      <c r="P498" s="10">
        <v>107</v>
      </c>
      <c r="Q498">
        <v>31.45</v>
      </c>
      <c r="R498">
        <v>3.15</v>
      </c>
      <c r="S498">
        <v>9.44</v>
      </c>
      <c r="T498">
        <v>9.44</v>
      </c>
      <c r="U498">
        <v>9.44</v>
      </c>
      <c r="V498" s="6">
        <v>5.8823529411764705E-2</v>
      </c>
      <c r="W498" s="6">
        <v>0.29411764705882354</v>
      </c>
      <c r="X498" s="6">
        <v>0.6470588235294118</v>
      </c>
      <c r="Y498" s="11">
        <f>VLOOKUP(G498,'[1]historico puntos 2022-2025'!$A$2:$G$19,7,0)</f>
        <v>40</v>
      </c>
      <c r="Z498" t="s">
        <v>38</v>
      </c>
      <c r="AA498">
        <f t="shared" si="23"/>
        <v>496</v>
      </c>
    </row>
    <row r="499" spans="1:27" hidden="1" x14ac:dyDescent="0.3">
      <c r="A499" t="str">
        <f t="shared" si="21"/>
        <v>2024-América</v>
      </c>
      <c r="B499" t="str">
        <f t="shared" si="22"/>
        <v>2024-Tigres</v>
      </c>
      <c r="C499">
        <v>2024</v>
      </c>
      <c r="D499" t="s">
        <v>14</v>
      </c>
      <c r="E499" s="2">
        <v>2</v>
      </c>
      <c r="F499" s="2">
        <v>0</v>
      </c>
      <c r="G499" t="s">
        <v>17</v>
      </c>
      <c r="H499">
        <v>92.45</v>
      </c>
      <c r="I499">
        <v>9.25</v>
      </c>
      <c r="J499">
        <v>27.73</v>
      </c>
      <c r="K499">
        <v>27.73</v>
      </c>
      <c r="L499">
        <v>27.73</v>
      </c>
      <c r="M499" s="6">
        <v>0.65217391304347827</v>
      </c>
      <c r="N499" s="6">
        <v>0.21739130434782608</v>
      </c>
      <c r="O499" s="6">
        <v>0.13043478260869565</v>
      </c>
      <c r="P499" s="10">
        <v>133</v>
      </c>
      <c r="Q499" t="s">
        <v>37</v>
      </c>
      <c r="R499" t="s">
        <v>37</v>
      </c>
      <c r="S499" t="s">
        <v>37</v>
      </c>
      <c r="T499" t="s">
        <v>37</v>
      </c>
      <c r="U499" t="s">
        <v>37</v>
      </c>
      <c r="V499" s="6">
        <v>0.3</v>
      </c>
      <c r="W499" s="6">
        <v>0.3</v>
      </c>
      <c r="X499" s="6">
        <v>0.4</v>
      </c>
      <c r="Y499" s="11">
        <f>VLOOKUP(G499,'[1]historico puntos 2022-2025'!$A$2:$G$19,7,0)</f>
        <v>107</v>
      </c>
      <c r="Z499" t="s">
        <v>38</v>
      </c>
      <c r="AA499">
        <f t="shared" si="23"/>
        <v>497</v>
      </c>
    </row>
    <row r="500" spans="1:27" hidden="1" x14ac:dyDescent="0.3">
      <c r="A500" t="str">
        <f t="shared" si="21"/>
        <v>2024-Toluca</v>
      </c>
      <c r="B500" t="str">
        <f t="shared" si="22"/>
        <v>2024-Tigres</v>
      </c>
      <c r="C500">
        <v>2024</v>
      </c>
      <c r="D500" t="s">
        <v>2</v>
      </c>
      <c r="E500" s="2">
        <v>2</v>
      </c>
      <c r="F500" s="2">
        <v>1</v>
      </c>
      <c r="G500" t="s">
        <v>17</v>
      </c>
      <c r="H500">
        <v>77.45</v>
      </c>
      <c r="I500">
        <v>7.75</v>
      </c>
      <c r="J500">
        <v>23.24</v>
      </c>
      <c r="K500">
        <v>23.24</v>
      </c>
      <c r="L500">
        <v>23.24</v>
      </c>
      <c r="M500" s="6">
        <v>0.76190476190476186</v>
      </c>
      <c r="N500" s="6">
        <v>0.19047619047619047</v>
      </c>
      <c r="O500" s="6">
        <v>4.7619047619047616E-2</v>
      </c>
      <c r="P500" s="10">
        <v>118</v>
      </c>
      <c r="Q500" t="s">
        <v>37</v>
      </c>
      <c r="R500" t="s">
        <v>37</v>
      </c>
      <c r="S500" t="s">
        <v>37</v>
      </c>
      <c r="T500" t="s">
        <v>37</v>
      </c>
      <c r="U500" t="s">
        <v>37</v>
      </c>
      <c r="V500" s="6">
        <v>0.3</v>
      </c>
      <c r="W500" s="6">
        <v>0.3</v>
      </c>
      <c r="X500" s="6">
        <v>0.4</v>
      </c>
      <c r="Y500" s="11">
        <f>VLOOKUP(G500,'[1]historico puntos 2022-2025'!$A$2:$G$19,7,0)</f>
        <v>107</v>
      </c>
      <c r="Z500" t="s">
        <v>38</v>
      </c>
      <c r="AA500">
        <f t="shared" si="23"/>
        <v>498</v>
      </c>
    </row>
    <row r="501" spans="1:27" x14ac:dyDescent="0.3">
      <c r="A501" t="str">
        <f t="shared" si="21"/>
        <v>2024-Tigres</v>
      </c>
      <c r="B501" t="str">
        <f t="shared" si="22"/>
        <v>2024-Juarez</v>
      </c>
      <c r="C501">
        <v>2024</v>
      </c>
      <c r="D501" t="s">
        <v>17</v>
      </c>
      <c r="E501" s="2">
        <v>1</v>
      </c>
      <c r="F501" s="2">
        <v>0</v>
      </c>
      <c r="G501" t="s">
        <v>18</v>
      </c>
      <c r="H501">
        <v>67</v>
      </c>
      <c r="I501">
        <v>6.7</v>
      </c>
      <c r="J501">
        <v>20.100000000000001</v>
      </c>
      <c r="K501">
        <v>20.100000000000001</v>
      </c>
      <c r="L501">
        <v>20.100000000000001</v>
      </c>
      <c r="M501" s="6">
        <v>0.7</v>
      </c>
      <c r="N501" s="6">
        <v>0.25</v>
      </c>
      <c r="O501" s="6">
        <v>0.05</v>
      </c>
      <c r="P501" s="10">
        <v>107</v>
      </c>
      <c r="Q501" t="s">
        <v>37</v>
      </c>
      <c r="R501" t="s">
        <v>37</v>
      </c>
      <c r="S501" t="s">
        <v>37</v>
      </c>
      <c r="T501" t="s">
        <v>37</v>
      </c>
      <c r="U501" t="s">
        <v>37</v>
      </c>
      <c r="V501" s="6">
        <v>0.35294117647058826</v>
      </c>
      <c r="W501" s="6">
        <v>0.17647058823529413</v>
      </c>
      <c r="X501" s="6">
        <v>0.47058823529411764</v>
      </c>
      <c r="Y501" s="11">
        <f>VLOOKUP(G501,'[1]historico puntos 2022-2025'!$A$2:$G$19,7,0)</f>
        <v>55</v>
      </c>
      <c r="Z501" t="s">
        <v>38</v>
      </c>
      <c r="AA501">
        <f t="shared" si="23"/>
        <v>499</v>
      </c>
    </row>
    <row r="502" spans="1:27" x14ac:dyDescent="0.3">
      <c r="A502" t="str">
        <f t="shared" si="21"/>
        <v>2024-Tigres</v>
      </c>
      <c r="B502" t="str">
        <f t="shared" si="22"/>
        <v>2024-Atlas</v>
      </c>
      <c r="C502">
        <v>2024</v>
      </c>
      <c r="D502" t="s">
        <v>17</v>
      </c>
      <c r="E502" s="2">
        <v>1</v>
      </c>
      <c r="F502" s="2">
        <v>1</v>
      </c>
      <c r="G502" t="s">
        <v>5</v>
      </c>
      <c r="H502">
        <v>67</v>
      </c>
      <c r="I502">
        <v>6.7</v>
      </c>
      <c r="J502">
        <v>20.100000000000001</v>
      </c>
      <c r="K502">
        <v>20.100000000000001</v>
      </c>
      <c r="L502">
        <v>20.100000000000001</v>
      </c>
      <c r="M502" s="6">
        <v>0.7</v>
      </c>
      <c r="N502" s="6">
        <v>0.25</v>
      </c>
      <c r="O502" s="6">
        <v>0.05</v>
      </c>
      <c r="P502" s="10">
        <v>107</v>
      </c>
      <c r="Q502">
        <v>28.95</v>
      </c>
      <c r="R502">
        <v>2.9</v>
      </c>
      <c r="S502">
        <v>8.68</v>
      </c>
      <c r="T502">
        <v>8.68</v>
      </c>
      <c r="U502">
        <v>8.68</v>
      </c>
      <c r="V502" s="6">
        <v>0.26315789473684209</v>
      </c>
      <c r="W502" s="6">
        <v>0.31578947368421051</v>
      </c>
      <c r="X502" s="6">
        <v>0.42105263157894735</v>
      </c>
      <c r="Y502" s="11">
        <f>VLOOKUP(G502,'[1]historico puntos 2022-2025'!$A$2:$G$19,7,0)</f>
        <v>60</v>
      </c>
      <c r="Z502" t="s">
        <v>39</v>
      </c>
      <c r="AA502">
        <f t="shared" si="23"/>
        <v>500</v>
      </c>
    </row>
    <row r="503" spans="1:27" hidden="1" x14ac:dyDescent="0.3">
      <c r="A503" t="str">
        <f t="shared" si="21"/>
        <v>2024-Santos Laguna</v>
      </c>
      <c r="B503" t="str">
        <f t="shared" si="22"/>
        <v>2024-Tigres</v>
      </c>
      <c r="C503">
        <v>2024</v>
      </c>
      <c r="D503" t="s">
        <v>11</v>
      </c>
      <c r="E503" s="2">
        <v>0</v>
      </c>
      <c r="F503" s="2">
        <v>3</v>
      </c>
      <c r="G503" t="s">
        <v>17</v>
      </c>
      <c r="H503">
        <v>35.9</v>
      </c>
      <c r="I503">
        <v>3.59</v>
      </c>
      <c r="J503">
        <v>10.77</v>
      </c>
      <c r="K503">
        <v>10.77</v>
      </c>
      <c r="L503">
        <v>10.77</v>
      </c>
      <c r="M503" s="6">
        <v>0.23529411764705882</v>
      </c>
      <c r="N503" s="6">
        <v>0.17647058823529413</v>
      </c>
      <c r="O503" s="6">
        <v>0.58823529411764708</v>
      </c>
      <c r="P503" s="10">
        <v>46</v>
      </c>
      <c r="Q503" t="s">
        <v>37</v>
      </c>
      <c r="R503" t="s">
        <v>37</v>
      </c>
      <c r="S503" t="s">
        <v>37</v>
      </c>
      <c r="T503" t="s">
        <v>37</v>
      </c>
      <c r="U503" t="s">
        <v>37</v>
      </c>
      <c r="V503" s="6">
        <v>0.3</v>
      </c>
      <c r="W503" s="6">
        <v>0.3</v>
      </c>
      <c r="X503" s="6">
        <v>0.4</v>
      </c>
      <c r="Y503" s="11">
        <f>VLOOKUP(G503,'[1]historico puntos 2022-2025'!$A$2:$G$19,7,0)</f>
        <v>107</v>
      </c>
      <c r="Z503" t="s">
        <v>40</v>
      </c>
      <c r="AA503">
        <f t="shared" si="23"/>
        <v>501</v>
      </c>
    </row>
    <row r="504" spans="1:27" x14ac:dyDescent="0.3">
      <c r="A504" t="str">
        <f t="shared" si="21"/>
        <v>2024-Tigres</v>
      </c>
      <c r="B504" t="str">
        <f t="shared" si="22"/>
        <v>2024-Pumas</v>
      </c>
      <c r="C504">
        <v>2024</v>
      </c>
      <c r="D504" t="s">
        <v>17</v>
      </c>
      <c r="E504" s="2">
        <v>2</v>
      </c>
      <c r="F504" s="2">
        <v>2</v>
      </c>
      <c r="G504" t="s">
        <v>16</v>
      </c>
      <c r="H504">
        <v>67</v>
      </c>
      <c r="I504">
        <v>6.7</v>
      </c>
      <c r="J504">
        <v>20.100000000000001</v>
      </c>
      <c r="K504">
        <v>20.100000000000001</v>
      </c>
      <c r="L504">
        <v>20.100000000000001</v>
      </c>
      <c r="M504" s="6">
        <v>0.7</v>
      </c>
      <c r="N504" s="6">
        <v>0.25</v>
      </c>
      <c r="O504" s="6">
        <v>0.05</v>
      </c>
      <c r="P504" s="10">
        <v>107</v>
      </c>
      <c r="Q504">
        <v>47.6</v>
      </c>
      <c r="R504">
        <v>4.76</v>
      </c>
      <c r="S504">
        <v>14.28</v>
      </c>
      <c r="T504">
        <v>14.28</v>
      </c>
      <c r="U504">
        <v>14.28</v>
      </c>
      <c r="V504" s="6">
        <v>0.3</v>
      </c>
      <c r="W504" s="6">
        <v>0.25</v>
      </c>
      <c r="X504" s="6">
        <v>0.45</v>
      </c>
      <c r="Y504" s="11">
        <f>VLOOKUP(G504,'[1]historico puntos 2022-2025'!$A$2:$G$19,7,0)</f>
        <v>75</v>
      </c>
      <c r="Z504" t="s">
        <v>39</v>
      </c>
      <c r="AA504">
        <f t="shared" si="23"/>
        <v>502</v>
      </c>
    </row>
    <row r="505" spans="1:27" hidden="1" x14ac:dyDescent="0.3">
      <c r="A505" t="str">
        <f t="shared" si="21"/>
        <v>2024-Atlético San Luis</v>
      </c>
      <c r="B505" t="str">
        <f t="shared" si="22"/>
        <v>2024-Tigres</v>
      </c>
      <c r="C505">
        <v>2024</v>
      </c>
      <c r="D505" t="s">
        <v>15</v>
      </c>
      <c r="E505" s="2">
        <v>1</v>
      </c>
      <c r="F505" s="2">
        <v>2</v>
      </c>
      <c r="G505" t="s">
        <v>17</v>
      </c>
      <c r="H505">
        <v>45.95</v>
      </c>
      <c r="I505">
        <v>4.5999999999999996</v>
      </c>
      <c r="J505">
        <v>13.84</v>
      </c>
      <c r="K505">
        <v>13.84</v>
      </c>
      <c r="L505">
        <v>13.84</v>
      </c>
      <c r="M505" s="6">
        <v>0.68421052631578949</v>
      </c>
      <c r="N505" s="6">
        <v>5.2631578947368418E-2</v>
      </c>
      <c r="O505" s="6">
        <v>0.26315789473684209</v>
      </c>
      <c r="P505" s="10">
        <v>59</v>
      </c>
      <c r="Q505" t="s">
        <v>37</v>
      </c>
      <c r="R505" t="s">
        <v>37</v>
      </c>
      <c r="S505" t="s">
        <v>37</v>
      </c>
      <c r="T505" t="s">
        <v>37</v>
      </c>
      <c r="U505" t="s">
        <v>37</v>
      </c>
      <c r="V505" s="6">
        <v>0.3</v>
      </c>
      <c r="W505" s="6">
        <v>0.3</v>
      </c>
      <c r="X505" s="6">
        <v>0.4</v>
      </c>
      <c r="Y505" s="11">
        <f>VLOOKUP(G505,'[1]historico puntos 2022-2025'!$A$2:$G$19,7,0)</f>
        <v>107</v>
      </c>
      <c r="Z505" t="s">
        <v>40</v>
      </c>
      <c r="AA505">
        <f t="shared" si="23"/>
        <v>503</v>
      </c>
    </row>
    <row r="506" spans="1:27" x14ac:dyDescent="0.3">
      <c r="A506" t="str">
        <f t="shared" si="21"/>
        <v>2024-Tigres</v>
      </c>
      <c r="B506" t="str">
        <f t="shared" si="22"/>
        <v>2024-Chivas</v>
      </c>
      <c r="C506">
        <v>2024</v>
      </c>
      <c r="D506" t="s">
        <v>17</v>
      </c>
      <c r="E506" s="2">
        <v>1</v>
      </c>
      <c r="F506" s="2">
        <v>0</v>
      </c>
      <c r="G506" t="s">
        <v>21</v>
      </c>
      <c r="H506">
        <v>67</v>
      </c>
      <c r="I506">
        <v>6.7</v>
      </c>
      <c r="J506">
        <v>20.100000000000001</v>
      </c>
      <c r="K506">
        <v>20.100000000000001</v>
      </c>
      <c r="L506">
        <v>20.100000000000001</v>
      </c>
      <c r="M506" s="6">
        <v>0.7</v>
      </c>
      <c r="N506" s="6">
        <v>0.25</v>
      </c>
      <c r="O506" s="6">
        <v>0.05</v>
      </c>
      <c r="P506" s="10">
        <v>107</v>
      </c>
      <c r="Q506" t="s">
        <v>37</v>
      </c>
      <c r="R506" t="s">
        <v>37</v>
      </c>
      <c r="S506" t="s">
        <v>37</v>
      </c>
      <c r="T506" t="s">
        <v>37</v>
      </c>
      <c r="U506" t="s">
        <v>37</v>
      </c>
      <c r="V506" s="6">
        <v>0.23529411764705882</v>
      </c>
      <c r="W506" s="6">
        <v>0.23529411764705882</v>
      </c>
      <c r="X506" s="6">
        <v>0.52941176470588236</v>
      </c>
      <c r="Y506" s="11">
        <f>VLOOKUP(G506,'[1]historico puntos 2022-2025'!$A$2:$G$19,7,0)</f>
        <v>99</v>
      </c>
      <c r="Z506" t="s">
        <v>38</v>
      </c>
      <c r="AA506">
        <f t="shared" si="23"/>
        <v>504</v>
      </c>
    </row>
    <row r="507" spans="1:27" hidden="1" x14ac:dyDescent="0.3">
      <c r="A507" t="str">
        <f t="shared" si="21"/>
        <v>2024-León</v>
      </c>
      <c r="B507" t="str">
        <f t="shared" si="22"/>
        <v>2024-Tigres</v>
      </c>
      <c r="C507">
        <v>2024</v>
      </c>
      <c r="D507" t="s">
        <v>36</v>
      </c>
      <c r="E507" s="2">
        <v>1</v>
      </c>
      <c r="F507" s="2">
        <v>2</v>
      </c>
      <c r="G507" t="s">
        <v>17</v>
      </c>
      <c r="H507">
        <v>29.55</v>
      </c>
      <c r="I507">
        <v>2.96</v>
      </c>
      <c r="J507">
        <v>8.8699999999999992</v>
      </c>
      <c r="K507">
        <v>8.8699999999999992</v>
      </c>
      <c r="L507">
        <v>8.8699999999999992</v>
      </c>
      <c r="M507" s="6">
        <v>0.3888888888888889</v>
      </c>
      <c r="N507" s="6">
        <v>0.3888888888888889</v>
      </c>
      <c r="O507" s="6">
        <v>0.22222222222222221</v>
      </c>
      <c r="P507" s="10">
        <v>87</v>
      </c>
      <c r="Q507" t="s">
        <v>37</v>
      </c>
      <c r="R507" t="s">
        <v>37</v>
      </c>
      <c r="S507" t="s">
        <v>37</v>
      </c>
      <c r="T507" t="s">
        <v>37</v>
      </c>
      <c r="U507" t="s">
        <v>37</v>
      </c>
      <c r="V507" s="6">
        <v>0.3</v>
      </c>
      <c r="W507" s="6">
        <v>0.3</v>
      </c>
      <c r="X507" s="6">
        <v>0.4</v>
      </c>
      <c r="Y507" s="11">
        <f>VLOOKUP(G507,'[1]historico puntos 2022-2025'!$A$2:$G$19,7,0)</f>
        <v>107</v>
      </c>
      <c r="Z507" t="s">
        <v>40</v>
      </c>
      <c r="AA507">
        <f t="shared" si="23"/>
        <v>505</v>
      </c>
    </row>
    <row r="508" spans="1:27" hidden="1" x14ac:dyDescent="0.3">
      <c r="A508" t="str">
        <f t="shared" si="21"/>
        <v>2023-América</v>
      </c>
      <c r="B508" t="str">
        <f t="shared" si="22"/>
        <v>2023-Tigres</v>
      </c>
      <c r="C508" s="1">
        <v>2023</v>
      </c>
      <c r="D508" t="s">
        <v>14</v>
      </c>
      <c r="E508" s="2">
        <v>0</v>
      </c>
      <c r="F508" s="2">
        <v>0</v>
      </c>
      <c r="G508" t="s">
        <v>17</v>
      </c>
      <c r="H508">
        <v>84.2</v>
      </c>
      <c r="I508">
        <v>8.42</v>
      </c>
      <c r="J508">
        <v>25.26</v>
      </c>
      <c r="K508">
        <v>25.26</v>
      </c>
      <c r="L508">
        <v>25.26</v>
      </c>
      <c r="M508" s="6">
        <v>0.65217391304347827</v>
      </c>
      <c r="N508" s="6">
        <v>0.21739130434782608</v>
      </c>
      <c r="O508" s="6">
        <v>0.13043478260869565</v>
      </c>
      <c r="P508" s="10">
        <v>133</v>
      </c>
      <c r="Q508" t="s">
        <v>37</v>
      </c>
      <c r="R508" t="s">
        <v>37</v>
      </c>
      <c r="S508" t="s">
        <v>37</v>
      </c>
      <c r="T508" t="s">
        <v>37</v>
      </c>
      <c r="U508" t="s">
        <v>37</v>
      </c>
      <c r="V508" s="6">
        <v>0.3</v>
      </c>
      <c r="W508" s="6">
        <v>0.3</v>
      </c>
      <c r="X508" s="6">
        <v>0.4</v>
      </c>
      <c r="Y508" s="11">
        <f>VLOOKUP(G508,'[1]historico puntos 2022-2025'!$A$2:$G$19,7,0)</f>
        <v>107</v>
      </c>
      <c r="Z508" t="s">
        <v>39</v>
      </c>
      <c r="AA508">
        <f t="shared" si="23"/>
        <v>506</v>
      </c>
    </row>
    <row r="509" spans="1:27" x14ac:dyDescent="0.3">
      <c r="A509" t="str">
        <f t="shared" si="21"/>
        <v>2023-Tigres</v>
      </c>
      <c r="B509" t="str">
        <f t="shared" si="22"/>
        <v>2023-América</v>
      </c>
      <c r="C509">
        <v>2023</v>
      </c>
      <c r="D509" t="s">
        <v>17</v>
      </c>
      <c r="E509" s="2">
        <v>1</v>
      </c>
      <c r="F509" s="2">
        <v>1</v>
      </c>
      <c r="G509" t="s">
        <v>14</v>
      </c>
      <c r="H509">
        <v>67.599999999999994</v>
      </c>
      <c r="I509">
        <v>6.76</v>
      </c>
      <c r="J509">
        <v>20.28</v>
      </c>
      <c r="K509">
        <v>20.28</v>
      </c>
      <c r="L509">
        <v>20.28</v>
      </c>
      <c r="M509" s="6">
        <v>0.7</v>
      </c>
      <c r="N509" s="6">
        <v>0.25</v>
      </c>
      <c r="O509" s="6">
        <v>0.05</v>
      </c>
      <c r="P509" s="10">
        <v>107</v>
      </c>
      <c r="Q509">
        <v>84.2</v>
      </c>
      <c r="R509">
        <v>8.42</v>
      </c>
      <c r="S509">
        <v>25.26</v>
      </c>
      <c r="T509">
        <v>25.26</v>
      </c>
      <c r="U509">
        <v>25.26</v>
      </c>
      <c r="V509" s="6">
        <v>0.375</v>
      </c>
      <c r="W509" s="6">
        <v>0.29166666666666669</v>
      </c>
      <c r="X509" s="6">
        <v>0.33333333333333331</v>
      </c>
      <c r="Y509" s="11">
        <f>VLOOKUP(G509,'[1]historico puntos 2022-2025'!$A$2:$G$19,7,0)</f>
        <v>133</v>
      </c>
      <c r="Z509" t="s">
        <v>39</v>
      </c>
      <c r="AA509">
        <f t="shared" si="23"/>
        <v>507</v>
      </c>
    </row>
    <row r="510" spans="1:27" x14ac:dyDescent="0.3">
      <c r="A510" t="str">
        <f t="shared" si="21"/>
        <v>2023-Tigres</v>
      </c>
      <c r="B510" t="str">
        <f t="shared" si="22"/>
        <v>2023-Pumas</v>
      </c>
      <c r="C510">
        <v>2023</v>
      </c>
      <c r="D510" t="s">
        <v>17</v>
      </c>
      <c r="E510" s="2">
        <v>1</v>
      </c>
      <c r="F510" s="2">
        <v>1</v>
      </c>
      <c r="G510" t="s">
        <v>16</v>
      </c>
      <c r="H510">
        <v>67.599999999999994</v>
      </c>
      <c r="I510">
        <v>6.76</v>
      </c>
      <c r="J510">
        <v>20.28</v>
      </c>
      <c r="K510">
        <v>20.28</v>
      </c>
      <c r="L510">
        <v>20.28</v>
      </c>
      <c r="M510" s="6">
        <v>0.7</v>
      </c>
      <c r="N510" s="6">
        <v>0.25</v>
      </c>
      <c r="O510" s="6">
        <v>0.05</v>
      </c>
      <c r="P510" s="10">
        <v>107</v>
      </c>
      <c r="Q510" t="s">
        <v>37</v>
      </c>
      <c r="R510" t="s">
        <v>37</v>
      </c>
      <c r="S510" t="s">
        <v>37</v>
      </c>
      <c r="T510" t="s">
        <v>37</v>
      </c>
      <c r="U510" t="s">
        <v>37</v>
      </c>
      <c r="V510" s="6">
        <v>0.3</v>
      </c>
      <c r="W510" s="6">
        <v>0.25</v>
      </c>
      <c r="X510" s="6">
        <v>0.45</v>
      </c>
      <c r="Y510" s="11">
        <f>VLOOKUP(G510,'[1]historico puntos 2022-2025'!$A$2:$G$19,7,0)</f>
        <v>75</v>
      </c>
      <c r="Z510" t="s">
        <v>39</v>
      </c>
      <c r="AA510">
        <f t="shared" si="23"/>
        <v>508</v>
      </c>
    </row>
    <row r="511" spans="1:27" x14ac:dyDescent="0.3">
      <c r="A511" t="str">
        <f t="shared" si="21"/>
        <v>2023-Tigres</v>
      </c>
      <c r="B511" t="str">
        <f t="shared" si="22"/>
        <v>2023-Puebla</v>
      </c>
      <c r="C511">
        <v>2023</v>
      </c>
      <c r="D511" t="s">
        <v>17</v>
      </c>
      <c r="E511" s="2">
        <v>3</v>
      </c>
      <c r="F511" s="2">
        <v>0</v>
      </c>
      <c r="G511" t="s">
        <v>1</v>
      </c>
      <c r="H511">
        <v>67.599999999999994</v>
      </c>
      <c r="I511">
        <v>6.76</v>
      </c>
      <c r="J511">
        <v>20.28</v>
      </c>
      <c r="K511">
        <v>20.28</v>
      </c>
      <c r="L511">
        <v>20.28</v>
      </c>
      <c r="M511" s="6">
        <v>0.7</v>
      </c>
      <c r="N511" s="6">
        <v>0.25</v>
      </c>
      <c r="O511" s="6">
        <v>0.05</v>
      </c>
      <c r="P511" s="10">
        <v>107</v>
      </c>
      <c r="Q511">
        <v>26.7</v>
      </c>
      <c r="R511">
        <v>2.67</v>
      </c>
      <c r="S511">
        <v>8.01</v>
      </c>
      <c r="T511">
        <v>8.01</v>
      </c>
      <c r="U511">
        <v>8.01</v>
      </c>
      <c r="V511" s="6">
        <v>0.11764705882352941</v>
      </c>
      <c r="W511" s="6">
        <v>0.17647058823529413</v>
      </c>
      <c r="X511" s="6">
        <v>0.70588235294117652</v>
      </c>
      <c r="Y511" s="11">
        <f>VLOOKUP(G511,'[1]historico puntos 2022-2025'!$A$2:$G$19,7,0)</f>
        <v>34</v>
      </c>
      <c r="Z511" t="s">
        <v>38</v>
      </c>
      <c r="AA511">
        <f t="shared" si="23"/>
        <v>509</v>
      </c>
    </row>
    <row r="512" spans="1:27" hidden="1" x14ac:dyDescent="0.3">
      <c r="A512" t="str">
        <f t="shared" si="21"/>
        <v>2023-Puebla</v>
      </c>
      <c r="B512" t="str">
        <f t="shared" si="22"/>
        <v>2023-Tigres</v>
      </c>
      <c r="C512">
        <v>2023</v>
      </c>
      <c r="D512" t="s">
        <v>1</v>
      </c>
      <c r="E512" s="2">
        <v>2</v>
      </c>
      <c r="F512" s="2">
        <v>2</v>
      </c>
      <c r="G512" t="s">
        <v>17</v>
      </c>
      <c r="H512">
        <v>26.7</v>
      </c>
      <c r="I512">
        <v>2.67</v>
      </c>
      <c r="J512">
        <v>8.01</v>
      </c>
      <c r="K512">
        <v>8.01</v>
      </c>
      <c r="L512">
        <v>8.01</v>
      </c>
      <c r="M512" s="6">
        <v>0.23529411764705882</v>
      </c>
      <c r="N512" s="6">
        <v>0.11764705882352941</v>
      </c>
      <c r="O512" s="6">
        <v>0.6470588235294118</v>
      </c>
      <c r="P512" s="10">
        <v>34</v>
      </c>
      <c r="Q512" t="s">
        <v>37</v>
      </c>
      <c r="R512" t="s">
        <v>37</v>
      </c>
      <c r="S512" t="s">
        <v>37</v>
      </c>
      <c r="T512" t="s">
        <v>37</v>
      </c>
      <c r="U512" t="s">
        <v>37</v>
      </c>
      <c r="V512" s="6">
        <v>0.3</v>
      </c>
      <c r="W512" s="6">
        <v>0.3</v>
      </c>
      <c r="X512" s="6">
        <v>0.4</v>
      </c>
      <c r="Y512" s="11">
        <f>VLOOKUP(G512,'[1]historico puntos 2022-2025'!$A$2:$G$19,7,0)</f>
        <v>107</v>
      </c>
      <c r="Z512" t="s">
        <v>39</v>
      </c>
      <c r="AA512">
        <f t="shared" si="23"/>
        <v>510</v>
      </c>
    </row>
    <row r="513" spans="1:27" x14ac:dyDescent="0.3">
      <c r="A513" t="str">
        <f t="shared" si="21"/>
        <v>2023-Tigres</v>
      </c>
      <c r="B513" t="str">
        <f t="shared" si="22"/>
        <v>2023-América</v>
      </c>
      <c r="C513">
        <v>2023</v>
      </c>
      <c r="D513" t="s">
        <v>17</v>
      </c>
      <c r="E513" s="2">
        <v>0</v>
      </c>
      <c r="F513" s="2">
        <v>0</v>
      </c>
      <c r="G513" t="s">
        <v>14</v>
      </c>
      <c r="H513">
        <v>67.599999999999994</v>
      </c>
      <c r="I513">
        <v>6.76</v>
      </c>
      <c r="J513">
        <v>20.28</v>
      </c>
      <c r="K513">
        <v>20.28</v>
      </c>
      <c r="L513">
        <v>20.28</v>
      </c>
      <c r="M513" s="6">
        <v>0.7</v>
      </c>
      <c r="N513" s="6">
        <v>0.25</v>
      </c>
      <c r="O513" s="6">
        <v>0.05</v>
      </c>
      <c r="P513" s="10">
        <v>107</v>
      </c>
      <c r="Q513">
        <v>84.2</v>
      </c>
      <c r="R513">
        <v>8.42</v>
      </c>
      <c r="S513">
        <v>25.26</v>
      </c>
      <c r="T513">
        <v>25.26</v>
      </c>
      <c r="U513">
        <v>25.26</v>
      </c>
      <c r="V513" s="6">
        <v>0.375</v>
      </c>
      <c r="W513" s="6">
        <v>0.29166666666666669</v>
      </c>
      <c r="X513" s="6">
        <v>0.33333333333333331</v>
      </c>
      <c r="Y513" s="11">
        <f>VLOOKUP(G513,'[1]historico puntos 2022-2025'!$A$2:$G$19,7,0)</f>
        <v>133</v>
      </c>
      <c r="Z513" t="s">
        <v>39</v>
      </c>
      <c r="AA513">
        <f t="shared" si="23"/>
        <v>511</v>
      </c>
    </row>
    <row r="514" spans="1:27" x14ac:dyDescent="0.3">
      <c r="A514" t="str">
        <f t="shared" si="21"/>
        <v>2023-Tigres</v>
      </c>
      <c r="B514" t="str">
        <f t="shared" si="22"/>
        <v>2023-Atlético San Luis</v>
      </c>
      <c r="C514">
        <v>2023</v>
      </c>
      <c r="D514" t="s">
        <v>17</v>
      </c>
      <c r="E514" s="2">
        <v>2</v>
      </c>
      <c r="F514" s="2">
        <v>2</v>
      </c>
      <c r="G514" t="s">
        <v>15</v>
      </c>
      <c r="H514">
        <v>67.599999999999994</v>
      </c>
      <c r="I514">
        <v>6.76</v>
      </c>
      <c r="J514">
        <v>20.28</v>
      </c>
      <c r="K514">
        <v>20.28</v>
      </c>
      <c r="L514">
        <v>20.28</v>
      </c>
      <c r="M514" s="6">
        <v>0.7</v>
      </c>
      <c r="N514" s="6">
        <v>0.25</v>
      </c>
      <c r="O514" s="6">
        <v>0.05</v>
      </c>
      <c r="P514" s="10">
        <v>107</v>
      </c>
      <c r="Q514">
        <v>35.85</v>
      </c>
      <c r="R514">
        <v>3.59</v>
      </c>
      <c r="S514">
        <v>10.77</v>
      </c>
      <c r="T514">
        <v>10.77</v>
      </c>
      <c r="U514">
        <v>10.77</v>
      </c>
      <c r="V514" s="6">
        <v>0.21052631578947367</v>
      </c>
      <c r="W514" s="6">
        <v>0.15789473684210525</v>
      </c>
      <c r="X514" s="6">
        <v>0.63157894736842102</v>
      </c>
      <c r="Y514" s="11">
        <f>VLOOKUP(G514,'[1]historico puntos 2022-2025'!$A$2:$G$19,7,0)</f>
        <v>59</v>
      </c>
      <c r="Z514" t="s">
        <v>39</v>
      </c>
      <c r="AA514">
        <f t="shared" si="23"/>
        <v>512</v>
      </c>
    </row>
    <row r="515" spans="1:27" hidden="1" x14ac:dyDescent="0.3">
      <c r="A515" t="str">
        <f t="shared" ref="A515:A578" si="24">C515&amp;"-"&amp;D515</f>
        <v>2023-Xolos</v>
      </c>
      <c r="B515" t="str">
        <f t="shared" ref="B515:B578" si="25">C515&amp;"-"&amp;G515</f>
        <v>2023-Tigres</v>
      </c>
      <c r="C515">
        <v>2023</v>
      </c>
      <c r="D515" t="s">
        <v>19</v>
      </c>
      <c r="E515" s="2">
        <v>2</v>
      </c>
      <c r="F515" s="2">
        <v>0</v>
      </c>
      <c r="G515" t="s">
        <v>17</v>
      </c>
      <c r="H515">
        <v>38.299999999999997</v>
      </c>
      <c r="I515">
        <v>3.83</v>
      </c>
      <c r="J515">
        <v>11.49</v>
      </c>
      <c r="K515">
        <v>11.49</v>
      </c>
      <c r="L515">
        <v>11.49</v>
      </c>
      <c r="M515" s="6">
        <v>0.55000000000000004</v>
      </c>
      <c r="N515" s="6">
        <v>0.15</v>
      </c>
      <c r="O515" s="6">
        <v>0.3</v>
      </c>
      <c r="P515" s="10">
        <v>49</v>
      </c>
      <c r="Q515" t="s">
        <v>37</v>
      </c>
      <c r="R515" t="s">
        <v>37</v>
      </c>
      <c r="S515" t="s">
        <v>37</v>
      </c>
      <c r="T515" t="s">
        <v>37</v>
      </c>
      <c r="U515" t="s">
        <v>37</v>
      </c>
      <c r="V515" s="6">
        <v>0.3</v>
      </c>
      <c r="W515" s="6">
        <v>0.3</v>
      </c>
      <c r="X515" s="6">
        <v>0.4</v>
      </c>
      <c r="Y515" s="11">
        <f>VLOOKUP(G515,'[1]historico puntos 2022-2025'!$A$2:$G$19,7,0)</f>
        <v>107</v>
      </c>
      <c r="Z515" t="s">
        <v>38</v>
      </c>
      <c r="AA515">
        <f t="shared" si="23"/>
        <v>513</v>
      </c>
    </row>
    <row r="516" spans="1:27" hidden="1" x14ac:dyDescent="0.3">
      <c r="A516" t="str">
        <f t="shared" si="24"/>
        <v>2023-Chivas</v>
      </c>
      <c r="B516" t="str">
        <f t="shared" si="25"/>
        <v>2023-Tigres</v>
      </c>
      <c r="C516">
        <v>2023</v>
      </c>
      <c r="D516" t="s">
        <v>21</v>
      </c>
      <c r="E516" s="2">
        <v>0</v>
      </c>
      <c r="F516" s="2">
        <v>4</v>
      </c>
      <c r="G516" t="s">
        <v>17</v>
      </c>
      <c r="H516">
        <v>69.7</v>
      </c>
      <c r="I516">
        <v>6.97</v>
      </c>
      <c r="J516">
        <v>20.91</v>
      </c>
      <c r="K516">
        <v>20.91</v>
      </c>
      <c r="L516">
        <v>20.91</v>
      </c>
      <c r="M516" s="6">
        <v>0.44444444444444442</v>
      </c>
      <c r="N516" s="6">
        <v>0.33333333333333331</v>
      </c>
      <c r="O516" s="6">
        <v>0.22222222222222221</v>
      </c>
      <c r="P516" s="10">
        <v>99</v>
      </c>
      <c r="Q516" t="s">
        <v>37</v>
      </c>
      <c r="R516" t="s">
        <v>37</v>
      </c>
      <c r="S516" t="s">
        <v>37</v>
      </c>
      <c r="T516" t="s">
        <v>37</v>
      </c>
      <c r="U516" t="s">
        <v>37</v>
      </c>
      <c r="V516" s="6">
        <v>0.3</v>
      </c>
      <c r="W516" s="6">
        <v>0.3</v>
      </c>
      <c r="X516" s="6">
        <v>0.4</v>
      </c>
      <c r="Y516" s="11">
        <f>VLOOKUP(G516,'[1]historico puntos 2022-2025'!$A$2:$G$19,7,0)</f>
        <v>107</v>
      </c>
      <c r="Z516" t="s">
        <v>40</v>
      </c>
      <c r="AA516">
        <f t="shared" ref="AA516:AA579" si="26">AA515+1</f>
        <v>514</v>
      </c>
    </row>
    <row r="517" spans="1:27" x14ac:dyDescent="0.3">
      <c r="A517" t="str">
        <f t="shared" si="24"/>
        <v>2023-Tigres</v>
      </c>
      <c r="B517" t="str">
        <f t="shared" si="25"/>
        <v>2023-Cruz Azul</v>
      </c>
      <c r="C517">
        <v>2023</v>
      </c>
      <c r="D517" t="s">
        <v>17</v>
      </c>
      <c r="E517" s="2">
        <v>2</v>
      </c>
      <c r="F517" s="2">
        <v>1</v>
      </c>
      <c r="G517" t="s">
        <v>10</v>
      </c>
      <c r="H517">
        <v>67.599999999999994</v>
      </c>
      <c r="I517">
        <v>6.76</v>
      </c>
      <c r="J517">
        <v>20.28</v>
      </c>
      <c r="K517">
        <v>20.28</v>
      </c>
      <c r="L517">
        <v>20.28</v>
      </c>
      <c r="M517" s="6">
        <v>0.7</v>
      </c>
      <c r="N517" s="6">
        <v>0.25</v>
      </c>
      <c r="O517" s="6">
        <v>0.05</v>
      </c>
      <c r="P517" s="10">
        <v>107</v>
      </c>
      <c r="Q517">
        <v>72.2</v>
      </c>
      <c r="R517">
        <v>7.22</v>
      </c>
      <c r="S517">
        <v>21.66</v>
      </c>
      <c r="T517">
        <v>21.66</v>
      </c>
      <c r="U517">
        <v>21.66</v>
      </c>
      <c r="V517" s="6">
        <v>0.52380952380952384</v>
      </c>
      <c r="W517" s="6">
        <v>0.23809523809523808</v>
      </c>
      <c r="X517" s="6">
        <v>0.23809523809523808</v>
      </c>
      <c r="Y517" s="11">
        <f>VLOOKUP(G517,'[1]historico puntos 2022-2025'!$A$2:$G$19,7,0)</f>
        <v>107</v>
      </c>
      <c r="Z517" t="s">
        <v>38</v>
      </c>
      <c r="AA517">
        <f t="shared" si="26"/>
        <v>515</v>
      </c>
    </row>
    <row r="518" spans="1:27" hidden="1" x14ac:dyDescent="0.3">
      <c r="A518" t="str">
        <f t="shared" si="24"/>
        <v>2023-Pachuca</v>
      </c>
      <c r="B518" t="str">
        <f t="shared" si="25"/>
        <v>2023-Tigres</v>
      </c>
      <c r="C518">
        <v>2023</v>
      </c>
      <c r="D518" t="s">
        <v>0</v>
      </c>
      <c r="E518" s="2">
        <v>1</v>
      </c>
      <c r="F518" s="2">
        <v>1</v>
      </c>
      <c r="G518" t="s">
        <v>17</v>
      </c>
      <c r="H518">
        <v>51.25</v>
      </c>
      <c r="I518">
        <v>5.13</v>
      </c>
      <c r="J518">
        <v>15.38</v>
      </c>
      <c r="K518">
        <v>15.38</v>
      </c>
      <c r="L518">
        <v>15.38</v>
      </c>
      <c r="M518" s="6">
        <v>0.3888888888888889</v>
      </c>
      <c r="N518" s="6">
        <v>0.33333333333333331</v>
      </c>
      <c r="O518" s="6">
        <v>0.27777777777777779</v>
      </c>
      <c r="P518" s="10">
        <v>98</v>
      </c>
      <c r="Q518" t="s">
        <v>37</v>
      </c>
      <c r="R518" t="s">
        <v>37</v>
      </c>
      <c r="S518" t="s">
        <v>37</v>
      </c>
      <c r="T518" t="s">
        <v>37</v>
      </c>
      <c r="U518" t="s">
        <v>37</v>
      </c>
      <c r="V518" s="6">
        <v>0.3</v>
      </c>
      <c r="W518" s="6">
        <v>0.3</v>
      </c>
      <c r="X518" s="6">
        <v>0.4</v>
      </c>
      <c r="Y518" s="11">
        <f>VLOOKUP(G518,'[1]historico puntos 2022-2025'!$A$2:$G$19,7,0)</f>
        <v>107</v>
      </c>
      <c r="Z518" t="s">
        <v>39</v>
      </c>
      <c r="AA518">
        <f t="shared" si="26"/>
        <v>516</v>
      </c>
    </row>
    <row r="519" spans="1:27" x14ac:dyDescent="0.3">
      <c r="A519" t="str">
        <f t="shared" si="24"/>
        <v>2023-Tigres</v>
      </c>
      <c r="B519" t="str">
        <f t="shared" si="25"/>
        <v>2023-Toluca</v>
      </c>
      <c r="C519">
        <v>2023</v>
      </c>
      <c r="D519" t="s">
        <v>17</v>
      </c>
      <c r="E519" s="2">
        <v>2</v>
      </c>
      <c r="F519" s="2">
        <v>2</v>
      </c>
      <c r="G519" t="s">
        <v>2</v>
      </c>
      <c r="H519">
        <v>67.599999999999994</v>
      </c>
      <c r="I519">
        <v>6.76</v>
      </c>
      <c r="J519">
        <v>20.28</v>
      </c>
      <c r="K519">
        <v>20.28</v>
      </c>
      <c r="L519">
        <v>20.28</v>
      </c>
      <c r="M519" s="6">
        <v>0.7</v>
      </c>
      <c r="N519" s="6">
        <v>0.25</v>
      </c>
      <c r="O519" s="6">
        <v>0.05</v>
      </c>
      <c r="P519" s="10">
        <v>107</v>
      </c>
      <c r="Q519">
        <v>66.2</v>
      </c>
      <c r="R519">
        <v>6.62</v>
      </c>
      <c r="S519">
        <v>19.86</v>
      </c>
      <c r="T519">
        <v>19.86</v>
      </c>
      <c r="U519">
        <v>19.86</v>
      </c>
      <c r="V519" s="6">
        <v>0.38095238095238093</v>
      </c>
      <c r="W519" s="6">
        <v>0.33333333333333331</v>
      </c>
      <c r="X519" s="6">
        <v>0.2857142857142857</v>
      </c>
      <c r="Y519" s="11">
        <f>VLOOKUP(G519,'[1]historico puntos 2022-2025'!$A$2:$G$19,7,0)</f>
        <v>118</v>
      </c>
      <c r="Z519" t="s">
        <v>39</v>
      </c>
      <c r="AA519">
        <f t="shared" si="26"/>
        <v>517</v>
      </c>
    </row>
    <row r="520" spans="1:27" hidden="1" x14ac:dyDescent="0.3">
      <c r="A520" t="str">
        <f t="shared" si="24"/>
        <v>2023-Mazatlán</v>
      </c>
      <c r="B520" t="str">
        <f t="shared" si="25"/>
        <v>2023-Tigres</v>
      </c>
      <c r="C520">
        <v>2023</v>
      </c>
      <c r="D520" t="s">
        <v>20</v>
      </c>
      <c r="E520" s="2">
        <v>2</v>
      </c>
      <c r="F520" s="2">
        <v>3</v>
      </c>
      <c r="G520" t="s">
        <v>17</v>
      </c>
      <c r="H520">
        <v>35.049999999999997</v>
      </c>
      <c r="I520">
        <v>3.5</v>
      </c>
      <c r="J520">
        <v>10.51</v>
      </c>
      <c r="K520">
        <v>10.51</v>
      </c>
      <c r="L520">
        <v>10.51</v>
      </c>
      <c r="M520" s="6">
        <v>0.29411764705882354</v>
      </c>
      <c r="N520" s="6">
        <v>0.47058823529411764</v>
      </c>
      <c r="O520" s="6">
        <v>0.23529411764705882</v>
      </c>
      <c r="P520" s="10">
        <v>40</v>
      </c>
      <c r="Q520" t="s">
        <v>37</v>
      </c>
      <c r="R520" t="s">
        <v>37</v>
      </c>
      <c r="S520" t="s">
        <v>37</v>
      </c>
      <c r="T520" t="s">
        <v>37</v>
      </c>
      <c r="U520" t="s">
        <v>37</v>
      </c>
      <c r="V520" s="6">
        <v>0.3</v>
      </c>
      <c r="W520" s="6">
        <v>0.3</v>
      </c>
      <c r="X520" s="6">
        <v>0.4</v>
      </c>
      <c r="Y520" s="11">
        <f>VLOOKUP(G520,'[1]historico puntos 2022-2025'!$A$2:$G$19,7,0)</f>
        <v>107</v>
      </c>
      <c r="Z520" t="s">
        <v>40</v>
      </c>
      <c r="AA520">
        <f t="shared" si="26"/>
        <v>518</v>
      </c>
    </row>
    <row r="521" spans="1:27" x14ac:dyDescent="0.3">
      <c r="A521" t="str">
        <f t="shared" si="24"/>
        <v>2023-Tigres</v>
      </c>
      <c r="B521" t="str">
        <f t="shared" si="25"/>
        <v>2023-Monterrey</v>
      </c>
      <c r="C521">
        <v>2023</v>
      </c>
      <c r="D521" t="s">
        <v>17</v>
      </c>
      <c r="E521" s="2">
        <v>3</v>
      </c>
      <c r="F521" s="2">
        <v>0</v>
      </c>
      <c r="G521" t="s">
        <v>3</v>
      </c>
      <c r="H521">
        <v>67.599999999999994</v>
      </c>
      <c r="I521">
        <v>6.76</v>
      </c>
      <c r="J521">
        <v>20.28</v>
      </c>
      <c r="K521">
        <v>20.28</v>
      </c>
      <c r="L521">
        <v>20.28</v>
      </c>
      <c r="M521" s="6">
        <v>0.7</v>
      </c>
      <c r="N521" s="6">
        <v>0.25</v>
      </c>
      <c r="O521" s="6">
        <v>0.05</v>
      </c>
      <c r="P521" s="10">
        <v>107</v>
      </c>
      <c r="Q521">
        <v>88.1</v>
      </c>
      <c r="R521">
        <v>8.81</v>
      </c>
      <c r="S521">
        <v>26.43</v>
      </c>
      <c r="T521">
        <v>26.43</v>
      </c>
      <c r="U521">
        <v>26.43</v>
      </c>
      <c r="V521" s="6">
        <v>0.38095238095238093</v>
      </c>
      <c r="W521" s="6">
        <v>0.23809523809523808</v>
      </c>
      <c r="X521" s="6">
        <v>0.38095238095238093</v>
      </c>
      <c r="Y521" s="11">
        <f>VLOOKUP(G521,'[1]historico puntos 2022-2025'!$A$2:$G$19,7,0)</f>
        <v>118</v>
      </c>
      <c r="Z521" t="s">
        <v>38</v>
      </c>
      <c r="AA521">
        <f t="shared" si="26"/>
        <v>519</v>
      </c>
    </row>
    <row r="522" spans="1:27" hidden="1" x14ac:dyDescent="0.3">
      <c r="A522" t="str">
        <f t="shared" si="24"/>
        <v>2023-Atlas</v>
      </c>
      <c r="B522" t="str">
        <f t="shared" si="25"/>
        <v>2023-Tigres</v>
      </c>
      <c r="C522">
        <v>2023</v>
      </c>
      <c r="D522" t="s">
        <v>5</v>
      </c>
      <c r="E522" s="2">
        <v>2</v>
      </c>
      <c r="F522" s="2">
        <v>0</v>
      </c>
      <c r="G522" t="s">
        <v>17</v>
      </c>
      <c r="H522">
        <v>30.7</v>
      </c>
      <c r="I522">
        <v>3.07</v>
      </c>
      <c r="J522">
        <v>9.2100000000000009</v>
      </c>
      <c r="K522">
        <v>9.2100000000000009</v>
      </c>
      <c r="L522">
        <v>9.2100000000000009</v>
      </c>
      <c r="M522" s="6" t="s">
        <v>37</v>
      </c>
      <c r="N522" s="6" t="s">
        <v>37</v>
      </c>
      <c r="O522" s="6" t="s">
        <v>37</v>
      </c>
      <c r="P522" s="10">
        <v>60</v>
      </c>
      <c r="Q522" t="s">
        <v>37</v>
      </c>
      <c r="R522" t="s">
        <v>37</v>
      </c>
      <c r="S522" t="s">
        <v>37</v>
      </c>
      <c r="T522" t="s">
        <v>37</v>
      </c>
      <c r="U522" t="s">
        <v>37</v>
      </c>
      <c r="V522" s="6">
        <v>0.3</v>
      </c>
      <c r="W522" s="6">
        <v>0.3</v>
      </c>
      <c r="X522" s="6">
        <v>0.4</v>
      </c>
      <c r="Y522" s="11">
        <f>VLOOKUP(G522,'[1]historico puntos 2022-2025'!$A$2:$G$19,7,0)</f>
        <v>107</v>
      </c>
      <c r="Z522" t="s">
        <v>38</v>
      </c>
      <c r="AA522">
        <f t="shared" si="26"/>
        <v>520</v>
      </c>
    </row>
    <row r="523" spans="1:27" x14ac:dyDescent="0.3">
      <c r="A523" t="str">
        <f t="shared" si="24"/>
        <v>2023-Tigres</v>
      </c>
      <c r="B523" t="str">
        <f t="shared" si="25"/>
        <v>2023-Querétaro</v>
      </c>
      <c r="C523">
        <v>2023</v>
      </c>
      <c r="D523" t="s">
        <v>17</v>
      </c>
      <c r="E523" s="2">
        <v>5</v>
      </c>
      <c r="F523" s="2">
        <v>0</v>
      </c>
      <c r="G523" t="s">
        <v>22</v>
      </c>
      <c r="H523">
        <v>67.599999999999994</v>
      </c>
      <c r="I523">
        <v>6.76</v>
      </c>
      <c r="J523">
        <v>20.28</v>
      </c>
      <c r="K523">
        <v>20.28</v>
      </c>
      <c r="L523">
        <v>20.28</v>
      </c>
      <c r="M523" s="6">
        <v>0.7</v>
      </c>
      <c r="N523" s="6">
        <v>0.25</v>
      </c>
      <c r="O523" s="6">
        <v>0.05</v>
      </c>
      <c r="P523" s="10">
        <v>107</v>
      </c>
      <c r="Q523" t="s">
        <v>37</v>
      </c>
      <c r="R523" t="s">
        <v>37</v>
      </c>
      <c r="S523" t="s">
        <v>37</v>
      </c>
      <c r="T523" t="s">
        <v>37</v>
      </c>
      <c r="U523" t="s">
        <v>37</v>
      </c>
      <c r="V523" s="6">
        <v>0.17647058823529413</v>
      </c>
      <c r="W523" s="6">
        <v>0.17647058823529413</v>
      </c>
      <c r="X523" s="6">
        <v>0.6470588235294118</v>
      </c>
      <c r="Y523" s="11">
        <f>VLOOKUP(G523,'[1]historico puntos 2022-2025'!$A$2:$G$19,7,0)</f>
        <v>64</v>
      </c>
      <c r="Z523" t="s">
        <v>38</v>
      </c>
      <c r="AA523">
        <f t="shared" si="26"/>
        <v>521</v>
      </c>
    </row>
    <row r="524" spans="1:27" x14ac:dyDescent="0.3">
      <c r="A524" t="str">
        <f t="shared" si="24"/>
        <v>2023-Tigres</v>
      </c>
      <c r="B524" t="str">
        <f t="shared" si="25"/>
        <v>2023-Santos Laguna</v>
      </c>
      <c r="C524">
        <v>2023</v>
      </c>
      <c r="D524" t="s">
        <v>17</v>
      </c>
      <c r="E524" s="2">
        <v>3</v>
      </c>
      <c r="F524" s="2">
        <v>2</v>
      </c>
      <c r="G524" t="s">
        <v>11</v>
      </c>
      <c r="H524">
        <v>67.599999999999994</v>
      </c>
      <c r="I524">
        <v>6.76</v>
      </c>
      <c r="J524">
        <v>20.28</v>
      </c>
      <c r="K524">
        <v>20.28</v>
      </c>
      <c r="L524">
        <v>20.28</v>
      </c>
      <c r="M524" s="6">
        <v>0.7</v>
      </c>
      <c r="N524" s="6">
        <v>0.25</v>
      </c>
      <c r="O524" s="6">
        <v>0.05</v>
      </c>
      <c r="P524" s="10">
        <v>107</v>
      </c>
      <c r="Q524" t="s">
        <v>37</v>
      </c>
      <c r="R524" t="s">
        <v>37</v>
      </c>
      <c r="S524" t="s">
        <v>37</v>
      </c>
      <c r="T524" t="s">
        <v>37</v>
      </c>
      <c r="U524" t="s">
        <v>37</v>
      </c>
      <c r="V524" s="6">
        <v>0</v>
      </c>
      <c r="W524" s="6">
        <v>0.11764705882352941</v>
      </c>
      <c r="X524" s="6">
        <v>0.88235294117647056</v>
      </c>
      <c r="Y524" s="11">
        <f>VLOOKUP(G524,'[1]historico puntos 2022-2025'!$A$2:$G$19,7,0)</f>
        <v>46</v>
      </c>
      <c r="Z524" t="s">
        <v>38</v>
      </c>
      <c r="AA524">
        <f t="shared" si="26"/>
        <v>522</v>
      </c>
    </row>
    <row r="525" spans="1:27" hidden="1" x14ac:dyDescent="0.3">
      <c r="A525" t="str">
        <f t="shared" si="24"/>
        <v>2023-Pumas</v>
      </c>
      <c r="B525" t="str">
        <f t="shared" si="25"/>
        <v>2023-Tigres</v>
      </c>
      <c r="C525">
        <v>2023</v>
      </c>
      <c r="D525" t="s">
        <v>16</v>
      </c>
      <c r="E525" s="2">
        <v>2</v>
      </c>
      <c r="F525" s="2">
        <v>1</v>
      </c>
      <c r="G525" t="s">
        <v>17</v>
      </c>
      <c r="H525" t="s">
        <v>37</v>
      </c>
      <c r="I525" t="s">
        <v>37</v>
      </c>
      <c r="J525" t="s">
        <v>37</v>
      </c>
      <c r="K525" t="s">
        <v>37</v>
      </c>
      <c r="L525" t="s">
        <v>37</v>
      </c>
      <c r="M525" s="6">
        <v>0.5</v>
      </c>
      <c r="N525" s="6">
        <v>0.16666666666666666</v>
      </c>
      <c r="O525" s="6">
        <v>0.33333333333333331</v>
      </c>
      <c r="P525" s="10">
        <v>75</v>
      </c>
      <c r="Q525" t="s">
        <v>37</v>
      </c>
      <c r="R525" t="s">
        <v>37</v>
      </c>
      <c r="S525" t="s">
        <v>37</v>
      </c>
      <c r="T525" t="s">
        <v>37</v>
      </c>
      <c r="U525" t="s">
        <v>37</v>
      </c>
      <c r="V525" s="6">
        <v>0.3</v>
      </c>
      <c r="W525" s="6">
        <v>0.3</v>
      </c>
      <c r="X525" s="6">
        <v>0.4</v>
      </c>
      <c r="Y525" s="11">
        <f>VLOOKUP(G525,'[1]historico puntos 2022-2025'!$A$2:$G$19,7,0)</f>
        <v>107</v>
      </c>
      <c r="Z525" t="s">
        <v>38</v>
      </c>
      <c r="AA525">
        <f t="shared" si="26"/>
        <v>523</v>
      </c>
    </row>
    <row r="526" spans="1:27" hidden="1" x14ac:dyDescent="0.3">
      <c r="A526" t="str">
        <f t="shared" si="24"/>
        <v>2023-Necaxa</v>
      </c>
      <c r="B526" t="str">
        <f t="shared" si="25"/>
        <v>2023-Tigres</v>
      </c>
      <c r="C526">
        <v>2023</v>
      </c>
      <c r="D526" t="s">
        <v>4</v>
      </c>
      <c r="E526" s="2">
        <v>0</v>
      </c>
      <c r="F526" s="2">
        <v>3</v>
      </c>
      <c r="G526" t="s">
        <v>17</v>
      </c>
      <c r="H526">
        <v>40</v>
      </c>
      <c r="I526">
        <v>4</v>
      </c>
      <c r="J526">
        <v>12</v>
      </c>
      <c r="K526">
        <v>12</v>
      </c>
      <c r="L526">
        <v>12</v>
      </c>
      <c r="M526" s="6">
        <v>0.44444444444444442</v>
      </c>
      <c r="N526" s="6">
        <v>0.22222222222222221</v>
      </c>
      <c r="O526" s="6">
        <v>0.33333333333333331</v>
      </c>
      <c r="P526" s="10">
        <v>77</v>
      </c>
      <c r="Q526" t="s">
        <v>37</v>
      </c>
      <c r="R526" t="s">
        <v>37</v>
      </c>
      <c r="S526" t="s">
        <v>37</v>
      </c>
      <c r="T526" t="s">
        <v>37</v>
      </c>
      <c r="U526" t="s">
        <v>37</v>
      </c>
      <c r="V526" s="6">
        <v>0.3</v>
      </c>
      <c r="W526" s="6">
        <v>0.3</v>
      </c>
      <c r="X526" s="6">
        <v>0.4</v>
      </c>
      <c r="Y526" s="11">
        <f>VLOOKUP(G526,'[1]historico puntos 2022-2025'!$A$2:$G$19,7,0)</f>
        <v>107</v>
      </c>
      <c r="Z526" t="s">
        <v>40</v>
      </c>
      <c r="AA526">
        <f t="shared" si="26"/>
        <v>524</v>
      </c>
    </row>
    <row r="527" spans="1:27" x14ac:dyDescent="0.3">
      <c r="A527" t="str">
        <f t="shared" si="24"/>
        <v>2023-Tigres</v>
      </c>
      <c r="B527" t="str">
        <f t="shared" si="25"/>
        <v>2023-León</v>
      </c>
      <c r="C527">
        <v>2023</v>
      </c>
      <c r="D527" t="s">
        <v>17</v>
      </c>
      <c r="E527" s="2">
        <v>1</v>
      </c>
      <c r="F527" s="2">
        <v>0</v>
      </c>
      <c r="G527" t="s">
        <v>36</v>
      </c>
      <c r="H527">
        <v>67.599999999999994</v>
      </c>
      <c r="I527">
        <v>6.76</v>
      </c>
      <c r="J527">
        <v>20.28</v>
      </c>
      <c r="K527">
        <v>20.28</v>
      </c>
      <c r="L527">
        <v>20.28</v>
      </c>
      <c r="M527" s="6">
        <v>0.7</v>
      </c>
      <c r="N527" s="6">
        <v>0.25</v>
      </c>
      <c r="O527" s="6">
        <v>0.05</v>
      </c>
      <c r="P527" s="10">
        <v>107</v>
      </c>
      <c r="Q527">
        <v>41.5</v>
      </c>
      <c r="R527">
        <v>4.1500000000000004</v>
      </c>
      <c r="S527">
        <v>12.45</v>
      </c>
      <c r="T527">
        <v>12.45</v>
      </c>
      <c r="U527">
        <v>12.45</v>
      </c>
      <c r="V527" s="6">
        <v>0.27777777777777779</v>
      </c>
      <c r="W527" s="6">
        <v>0.27777777777777779</v>
      </c>
      <c r="X527" s="6">
        <v>0.44444444444444442</v>
      </c>
      <c r="Y527" s="11">
        <f>VLOOKUP(G527,'[1]historico puntos 2022-2025'!$A$2:$G$19,7,0)</f>
        <v>87</v>
      </c>
      <c r="Z527" t="s">
        <v>38</v>
      </c>
      <c r="AA527">
        <f t="shared" si="26"/>
        <v>525</v>
      </c>
    </row>
    <row r="528" spans="1:27" hidden="1" x14ac:dyDescent="0.3">
      <c r="A528" t="str">
        <f t="shared" si="24"/>
        <v>2023-Juarez</v>
      </c>
      <c r="B528" t="str">
        <f t="shared" si="25"/>
        <v>2023-Tigres</v>
      </c>
      <c r="C528">
        <v>2023</v>
      </c>
      <c r="D528" t="s">
        <v>18</v>
      </c>
      <c r="E528" s="2">
        <v>1</v>
      </c>
      <c r="F528" s="2">
        <v>1</v>
      </c>
      <c r="G528" t="s">
        <v>17</v>
      </c>
      <c r="H528" t="s">
        <v>37</v>
      </c>
      <c r="I528" t="s">
        <v>37</v>
      </c>
      <c r="J528" t="s">
        <v>37</v>
      </c>
      <c r="K528" t="s">
        <v>37</v>
      </c>
      <c r="L528" t="s">
        <v>37</v>
      </c>
      <c r="M528" s="6">
        <v>0.27777777777777779</v>
      </c>
      <c r="N528" s="6">
        <v>0.33333333333333331</v>
      </c>
      <c r="O528" s="6">
        <v>0.3888888888888889</v>
      </c>
      <c r="P528" s="10">
        <v>55</v>
      </c>
      <c r="Q528" t="s">
        <v>37</v>
      </c>
      <c r="R528" t="s">
        <v>37</v>
      </c>
      <c r="S528" t="s">
        <v>37</v>
      </c>
      <c r="T528" t="s">
        <v>37</v>
      </c>
      <c r="U528" t="s">
        <v>37</v>
      </c>
      <c r="V528" s="6">
        <v>0.3</v>
      </c>
      <c r="W528" s="6">
        <v>0.3</v>
      </c>
      <c r="X528" s="6">
        <v>0.4</v>
      </c>
      <c r="Y528" s="11">
        <f>VLOOKUP(G528,'[1]historico puntos 2022-2025'!$A$2:$G$19,7,0)</f>
        <v>107</v>
      </c>
      <c r="Z528" t="s">
        <v>39</v>
      </c>
      <c r="AA528">
        <f t="shared" si="26"/>
        <v>526</v>
      </c>
    </row>
    <row r="529" spans="1:27" x14ac:dyDescent="0.3">
      <c r="A529" t="str">
        <f t="shared" si="24"/>
        <v>2023-Tigres</v>
      </c>
      <c r="B529" t="str">
        <f t="shared" si="25"/>
        <v>2023-Puebla</v>
      </c>
      <c r="C529">
        <v>2023</v>
      </c>
      <c r="D529" t="s">
        <v>17</v>
      </c>
      <c r="E529" s="2">
        <v>1</v>
      </c>
      <c r="F529" s="2">
        <v>1</v>
      </c>
      <c r="G529" t="s">
        <v>1</v>
      </c>
      <c r="H529">
        <v>67.599999999999994</v>
      </c>
      <c r="I529">
        <v>6.76</v>
      </c>
      <c r="J529">
        <v>20.28</v>
      </c>
      <c r="K529">
        <v>20.28</v>
      </c>
      <c r="L529">
        <v>20.28</v>
      </c>
      <c r="M529" s="6">
        <v>0.7</v>
      </c>
      <c r="N529" s="6">
        <v>0.25</v>
      </c>
      <c r="O529" s="6">
        <v>0.05</v>
      </c>
      <c r="P529" s="10">
        <v>107</v>
      </c>
      <c r="Q529">
        <v>26.7</v>
      </c>
      <c r="R529">
        <v>2.67</v>
      </c>
      <c r="S529">
        <v>8.01</v>
      </c>
      <c r="T529">
        <v>8.01</v>
      </c>
      <c r="U529">
        <v>8.01</v>
      </c>
      <c r="V529" s="6">
        <v>0.11764705882352941</v>
      </c>
      <c r="W529" s="6">
        <v>0.17647058823529413</v>
      </c>
      <c r="X529" s="6">
        <v>0.70588235294117652</v>
      </c>
      <c r="Y529" s="11">
        <f>VLOOKUP(G529,'[1]historico puntos 2022-2025'!$A$2:$G$19,7,0)</f>
        <v>34</v>
      </c>
      <c r="Z529" t="s">
        <v>39</v>
      </c>
      <c r="AA529">
        <f t="shared" si="26"/>
        <v>527</v>
      </c>
    </row>
    <row r="530" spans="1:27" x14ac:dyDescent="0.3">
      <c r="A530" t="str">
        <f t="shared" si="24"/>
        <v>2024-Tigres</v>
      </c>
      <c r="B530" t="str">
        <f t="shared" si="25"/>
        <v>2024-Xolos</v>
      </c>
      <c r="C530">
        <v>2024</v>
      </c>
      <c r="D530" t="s">
        <v>17</v>
      </c>
      <c r="E530" s="2">
        <v>4</v>
      </c>
      <c r="F530" s="2">
        <v>1</v>
      </c>
      <c r="G530" t="s">
        <v>19</v>
      </c>
      <c r="H530">
        <v>67</v>
      </c>
      <c r="I530">
        <v>6.7</v>
      </c>
      <c r="J530">
        <v>20.100000000000001</v>
      </c>
      <c r="K530">
        <v>20.100000000000001</v>
      </c>
      <c r="L530">
        <v>20.100000000000001</v>
      </c>
      <c r="M530" s="6">
        <v>0.7</v>
      </c>
      <c r="N530" s="6">
        <v>0.25</v>
      </c>
      <c r="O530" s="6">
        <v>0.05</v>
      </c>
      <c r="P530" s="10">
        <v>107</v>
      </c>
      <c r="Q530">
        <v>39.15</v>
      </c>
      <c r="R530">
        <v>3.92</v>
      </c>
      <c r="S530">
        <v>11.75</v>
      </c>
      <c r="T530">
        <v>11.75</v>
      </c>
      <c r="U530">
        <v>11.75</v>
      </c>
      <c r="V530" s="6">
        <v>0.27777777777777779</v>
      </c>
      <c r="W530" s="6">
        <v>0.22222222222222221</v>
      </c>
      <c r="X530" s="6">
        <v>0.5</v>
      </c>
      <c r="Y530" s="11">
        <f>VLOOKUP(G530,'[1]historico puntos 2022-2025'!$A$2:$G$19,7,0)</f>
        <v>49</v>
      </c>
      <c r="Z530" t="s">
        <v>38</v>
      </c>
      <c r="AA530">
        <f t="shared" si="26"/>
        <v>528</v>
      </c>
    </row>
    <row r="531" spans="1:27" hidden="1" x14ac:dyDescent="0.3">
      <c r="A531" t="str">
        <f t="shared" si="24"/>
        <v>2024-Xolos</v>
      </c>
      <c r="B531" t="str">
        <f t="shared" si="25"/>
        <v>2024-Puebla</v>
      </c>
      <c r="C531">
        <v>2024</v>
      </c>
      <c r="D531" t="s">
        <v>19</v>
      </c>
      <c r="E531" s="2">
        <v>3</v>
      </c>
      <c r="F531" s="2">
        <v>1</v>
      </c>
      <c r="G531" t="s">
        <v>1</v>
      </c>
      <c r="H531" t="s">
        <v>37</v>
      </c>
      <c r="I531" t="s">
        <v>37</v>
      </c>
      <c r="J531" t="s">
        <v>37</v>
      </c>
      <c r="K531" t="s">
        <v>37</v>
      </c>
      <c r="L531" t="s">
        <v>37</v>
      </c>
      <c r="M531" s="6">
        <v>0.55000000000000004</v>
      </c>
      <c r="N531" s="6">
        <v>0.15</v>
      </c>
      <c r="O531" s="6">
        <v>0.3</v>
      </c>
      <c r="P531" s="10">
        <v>49</v>
      </c>
      <c r="Q531">
        <v>24.1</v>
      </c>
      <c r="R531">
        <v>2.41</v>
      </c>
      <c r="S531">
        <v>7.23</v>
      </c>
      <c r="T531">
        <v>7.23</v>
      </c>
      <c r="U531">
        <v>7.23</v>
      </c>
      <c r="V531" s="6">
        <v>0.11764705882352941</v>
      </c>
      <c r="W531" s="6">
        <v>0.17647058823529413</v>
      </c>
      <c r="X531" s="6">
        <v>0.70588235294117652</v>
      </c>
      <c r="Y531" s="11">
        <f>VLOOKUP(G531,'[1]historico puntos 2022-2025'!$A$2:$G$19,7,0)</f>
        <v>34</v>
      </c>
      <c r="Z531" t="s">
        <v>38</v>
      </c>
      <c r="AA531">
        <f t="shared" si="26"/>
        <v>529</v>
      </c>
    </row>
    <row r="532" spans="1:27" hidden="1" x14ac:dyDescent="0.3">
      <c r="A532" t="str">
        <f t="shared" si="24"/>
        <v>2024-Juarez</v>
      </c>
      <c r="B532" t="str">
        <f t="shared" si="25"/>
        <v>2024-Xolos</v>
      </c>
      <c r="C532">
        <v>2024</v>
      </c>
      <c r="D532" t="s">
        <v>18</v>
      </c>
      <c r="E532" s="2">
        <v>0</v>
      </c>
      <c r="F532" s="2">
        <v>1</v>
      </c>
      <c r="G532" t="s">
        <v>19</v>
      </c>
      <c r="H532" t="s">
        <v>37</v>
      </c>
      <c r="I532" t="s">
        <v>37</v>
      </c>
      <c r="J532" t="s">
        <v>37</v>
      </c>
      <c r="K532" t="s">
        <v>37</v>
      </c>
      <c r="L532" t="s">
        <v>37</v>
      </c>
      <c r="M532" s="6">
        <v>0.27777777777777779</v>
      </c>
      <c r="N532" s="6">
        <v>0.33333333333333331</v>
      </c>
      <c r="O532" s="6">
        <v>0.3888888888888889</v>
      </c>
      <c r="P532" s="10">
        <v>55</v>
      </c>
      <c r="Q532">
        <v>39.15</v>
      </c>
      <c r="R532">
        <v>3.92</v>
      </c>
      <c r="S532">
        <v>11.75</v>
      </c>
      <c r="T532">
        <v>11.75</v>
      </c>
      <c r="U532">
        <v>11.75</v>
      </c>
      <c r="V532" s="6">
        <v>0.27777777777777779</v>
      </c>
      <c r="W532" s="6">
        <v>0.22222222222222221</v>
      </c>
      <c r="X532" s="6">
        <v>0.5</v>
      </c>
      <c r="Y532" s="11">
        <f>VLOOKUP(G532,'[1]historico puntos 2022-2025'!$A$2:$G$19,7,0)</f>
        <v>49</v>
      </c>
      <c r="Z532" t="s">
        <v>40</v>
      </c>
      <c r="AA532">
        <f t="shared" si="26"/>
        <v>530</v>
      </c>
    </row>
    <row r="533" spans="1:27" hidden="1" x14ac:dyDescent="0.3">
      <c r="A533" t="str">
        <f t="shared" si="24"/>
        <v>2024-Xolos</v>
      </c>
      <c r="B533" t="str">
        <f t="shared" si="25"/>
        <v>2024-Necaxa</v>
      </c>
      <c r="C533">
        <v>2024</v>
      </c>
      <c r="D533" t="s">
        <v>19</v>
      </c>
      <c r="E533" s="2">
        <v>2</v>
      </c>
      <c r="F533" s="2">
        <v>3</v>
      </c>
      <c r="G533" t="s">
        <v>4</v>
      </c>
      <c r="H533" t="s">
        <v>37</v>
      </c>
      <c r="I533" t="s">
        <v>37</v>
      </c>
      <c r="J533" t="s">
        <v>37</v>
      </c>
      <c r="K533" t="s">
        <v>37</v>
      </c>
      <c r="L533" t="s">
        <v>37</v>
      </c>
      <c r="M533" s="6">
        <v>0.55000000000000004</v>
      </c>
      <c r="N533" s="6">
        <v>0.15</v>
      </c>
      <c r="O533" s="6">
        <v>0.3</v>
      </c>
      <c r="P533" s="10">
        <v>49</v>
      </c>
      <c r="Q533">
        <v>38.5</v>
      </c>
      <c r="R533">
        <v>3.85</v>
      </c>
      <c r="S533">
        <v>11.55</v>
      </c>
      <c r="T533">
        <v>11.55</v>
      </c>
      <c r="U533">
        <v>11.55</v>
      </c>
      <c r="V533" s="6">
        <v>0.27777777777777779</v>
      </c>
      <c r="W533" s="6">
        <v>0.27777777777777779</v>
      </c>
      <c r="X533" s="6">
        <v>0.44444444444444442</v>
      </c>
      <c r="Y533" s="11">
        <f>VLOOKUP(G533,'[1]historico puntos 2022-2025'!$A$2:$G$19,7,0)</f>
        <v>77</v>
      </c>
      <c r="Z533" t="s">
        <v>40</v>
      </c>
      <c r="AA533">
        <f t="shared" si="26"/>
        <v>531</v>
      </c>
    </row>
    <row r="534" spans="1:27" hidden="1" x14ac:dyDescent="0.3">
      <c r="A534" t="str">
        <f t="shared" si="24"/>
        <v>2024-Mazatlán</v>
      </c>
      <c r="B534" t="str">
        <f t="shared" si="25"/>
        <v>2024-Xolos</v>
      </c>
      <c r="C534">
        <v>2024</v>
      </c>
      <c r="D534" t="s">
        <v>20</v>
      </c>
      <c r="E534" s="2">
        <v>2</v>
      </c>
      <c r="F534" s="2">
        <v>0</v>
      </c>
      <c r="G534" t="s">
        <v>19</v>
      </c>
      <c r="H534">
        <v>31.45</v>
      </c>
      <c r="I534">
        <v>3.15</v>
      </c>
      <c r="J534">
        <v>9.44</v>
      </c>
      <c r="K534">
        <v>9.44</v>
      </c>
      <c r="L534">
        <v>9.44</v>
      </c>
      <c r="M534" s="6">
        <v>0.29411764705882354</v>
      </c>
      <c r="N534" s="6">
        <v>0.47058823529411764</v>
      </c>
      <c r="O534" s="6">
        <v>0.23529411764705882</v>
      </c>
      <c r="P534" s="10">
        <v>40</v>
      </c>
      <c r="Q534">
        <v>39.15</v>
      </c>
      <c r="R534">
        <v>3.92</v>
      </c>
      <c r="S534">
        <v>11.75</v>
      </c>
      <c r="T534">
        <v>11.75</v>
      </c>
      <c r="U534">
        <v>11.75</v>
      </c>
      <c r="V534" s="6">
        <v>0.27777777777777779</v>
      </c>
      <c r="W534" s="6">
        <v>0.22222222222222221</v>
      </c>
      <c r="X534" s="6">
        <v>0.5</v>
      </c>
      <c r="Y534" s="11">
        <f>VLOOKUP(G534,'[1]historico puntos 2022-2025'!$A$2:$G$19,7,0)</f>
        <v>49</v>
      </c>
      <c r="Z534" t="s">
        <v>38</v>
      </c>
      <c r="AA534">
        <f t="shared" si="26"/>
        <v>532</v>
      </c>
    </row>
    <row r="535" spans="1:27" hidden="1" x14ac:dyDescent="0.3">
      <c r="A535" t="str">
        <f t="shared" si="24"/>
        <v>2024-Xolos</v>
      </c>
      <c r="B535" t="str">
        <f t="shared" si="25"/>
        <v>2024-Santos Laguna</v>
      </c>
      <c r="C535">
        <v>2024</v>
      </c>
      <c r="D535" t="s">
        <v>19</v>
      </c>
      <c r="E535" s="2">
        <v>2</v>
      </c>
      <c r="F535" s="2">
        <v>2</v>
      </c>
      <c r="G535" t="s">
        <v>11</v>
      </c>
      <c r="H535" t="s">
        <v>37</v>
      </c>
      <c r="I535" t="s">
        <v>37</v>
      </c>
      <c r="J535" t="s">
        <v>37</v>
      </c>
      <c r="K535" t="s">
        <v>37</v>
      </c>
      <c r="L535" t="s">
        <v>37</v>
      </c>
      <c r="M535" s="6">
        <v>0.55000000000000004</v>
      </c>
      <c r="N535" s="6">
        <v>0.15</v>
      </c>
      <c r="O535" s="6">
        <v>0.3</v>
      </c>
      <c r="P535" s="10">
        <v>49</v>
      </c>
      <c r="Q535" t="s">
        <v>37</v>
      </c>
      <c r="R535" t="s">
        <v>37</v>
      </c>
      <c r="S535" t="s">
        <v>37</v>
      </c>
      <c r="T535" t="s">
        <v>37</v>
      </c>
      <c r="U535" t="s">
        <v>37</v>
      </c>
      <c r="V535" s="6">
        <v>0</v>
      </c>
      <c r="W535" s="6">
        <v>0.11764705882352941</v>
      </c>
      <c r="X535" s="6">
        <v>0.88235294117647056</v>
      </c>
      <c r="Y535" s="11">
        <f>VLOOKUP(G535,'[1]historico puntos 2022-2025'!$A$2:$G$19,7,0)</f>
        <v>46</v>
      </c>
      <c r="Z535" t="s">
        <v>39</v>
      </c>
      <c r="AA535">
        <f t="shared" si="26"/>
        <v>533</v>
      </c>
    </row>
    <row r="536" spans="1:27" hidden="1" x14ac:dyDescent="0.3">
      <c r="A536" t="str">
        <f t="shared" si="24"/>
        <v>2024-Xolos</v>
      </c>
      <c r="B536" t="str">
        <f t="shared" si="25"/>
        <v>2024-León</v>
      </c>
      <c r="C536">
        <v>2024</v>
      </c>
      <c r="D536" t="s">
        <v>19</v>
      </c>
      <c r="E536" s="2">
        <v>1</v>
      </c>
      <c r="F536" s="2">
        <v>1</v>
      </c>
      <c r="G536" t="s">
        <v>36</v>
      </c>
      <c r="H536" t="s">
        <v>37</v>
      </c>
      <c r="I536" t="s">
        <v>37</v>
      </c>
      <c r="J536" t="s">
        <v>37</v>
      </c>
      <c r="K536" t="s">
        <v>37</v>
      </c>
      <c r="L536" t="s">
        <v>37</v>
      </c>
      <c r="M536" s="6">
        <v>0.55000000000000004</v>
      </c>
      <c r="N536" s="6">
        <v>0.15</v>
      </c>
      <c r="O536" s="6">
        <v>0.3</v>
      </c>
      <c r="P536" s="10">
        <v>49</v>
      </c>
      <c r="Q536">
        <v>29.55</v>
      </c>
      <c r="R536">
        <v>2.96</v>
      </c>
      <c r="S536">
        <v>8.8699999999999992</v>
      </c>
      <c r="T536">
        <v>8.8699999999999992</v>
      </c>
      <c r="U536">
        <v>8.8699999999999992</v>
      </c>
      <c r="V536" s="6">
        <v>0.27777777777777779</v>
      </c>
      <c r="W536" s="6">
        <v>0.27777777777777779</v>
      </c>
      <c r="X536" s="6">
        <v>0.44444444444444442</v>
      </c>
      <c r="Y536" s="11">
        <f>VLOOKUP(G536,'[1]historico puntos 2022-2025'!$A$2:$G$19,7,0)</f>
        <v>87</v>
      </c>
      <c r="Z536" t="s">
        <v>39</v>
      </c>
      <c r="AA536">
        <f t="shared" si="26"/>
        <v>534</v>
      </c>
    </row>
    <row r="537" spans="1:27" hidden="1" x14ac:dyDescent="0.3">
      <c r="A537" t="str">
        <f t="shared" si="24"/>
        <v>2024-Xolos</v>
      </c>
      <c r="B537" t="str">
        <f t="shared" si="25"/>
        <v>2024-Monterrey</v>
      </c>
      <c r="C537">
        <v>2024</v>
      </c>
      <c r="D537" t="s">
        <v>19</v>
      </c>
      <c r="E537" s="2">
        <v>1</v>
      </c>
      <c r="F537" s="2">
        <v>1</v>
      </c>
      <c r="G537" t="s">
        <v>3</v>
      </c>
      <c r="H537" t="s">
        <v>37</v>
      </c>
      <c r="I537" t="s">
        <v>37</v>
      </c>
      <c r="J537" t="s">
        <v>37</v>
      </c>
      <c r="K537" t="s">
        <v>37</v>
      </c>
      <c r="L537" t="s">
        <v>37</v>
      </c>
      <c r="M537" s="6">
        <v>0.55000000000000004</v>
      </c>
      <c r="N537" s="6">
        <v>0.15</v>
      </c>
      <c r="O537" s="6">
        <v>0.3</v>
      </c>
      <c r="P537" s="10">
        <v>49</v>
      </c>
      <c r="Q537">
        <v>88.6</v>
      </c>
      <c r="R537">
        <v>8.86</v>
      </c>
      <c r="S537">
        <v>26.58</v>
      </c>
      <c r="T537">
        <v>26.58</v>
      </c>
      <c r="U537">
        <v>26.58</v>
      </c>
      <c r="V537" s="6">
        <v>0.38095238095238093</v>
      </c>
      <c r="W537" s="6">
        <v>0.23809523809523808</v>
      </c>
      <c r="X537" s="6">
        <v>0.38095238095238093</v>
      </c>
      <c r="Y537" s="11">
        <f>VLOOKUP(G537,'[1]historico puntos 2022-2025'!$A$2:$G$19,7,0)</f>
        <v>118</v>
      </c>
      <c r="Z537" t="s">
        <v>39</v>
      </c>
      <c r="AA537">
        <f t="shared" si="26"/>
        <v>535</v>
      </c>
    </row>
    <row r="538" spans="1:27" hidden="1" x14ac:dyDescent="0.3">
      <c r="A538" t="str">
        <f t="shared" si="24"/>
        <v>2024-Toluca</v>
      </c>
      <c r="B538" t="str">
        <f t="shared" si="25"/>
        <v>2024-Xolos</v>
      </c>
      <c r="C538">
        <v>2024</v>
      </c>
      <c r="D538" t="s">
        <v>2</v>
      </c>
      <c r="E538" s="2">
        <v>2</v>
      </c>
      <c r="F538" s="2">
        <v>0</v>
      </c>
      <c r="G538" t="s">
        <v>19</v>
      </c>
      <c r="H538">
        <v>77.45</v>
      </c>
      <c r="I538">
        <v>7.75</v>
      </c>
      <c r="J538">
        <v>23.24</v>
      </c>
      <c r="K538">
        <v>23.24</v>
      </c>
      <c r="L538">
        <v>23.24</v>
      </c>
      <c r="M538" s="6">
        <v>0.76190476190476186</v>
      </c>
      <c r="N538" s="6">
        <v>0.19047619047619047</v>
      </c>
      <c r="O538" s="6">
        <v>4.7619047619047616E-2</v>
      </c>
      <c r="P538" s="10">
        <v>118</v>
      </c>
      <c r="Q538">
        <v>39.15</v>
      </c>
      <c r="R538">
        <v>3.92</v>
      </c>
      <c r="S538">
        <v>11.75</v>
      </c>
      <c r="T538">
        <v>11.75</v>
      </c>
      <c r="U538">
        <v>11.75</v>
      </c>
      <c r="V538" s="6">
        <v>0.27777777777777779</v>
      </c>
      <c r="W538" s="6">
        <v>0.22222222222222221</v>
      </c>
      <c r="X538" s="6">
        <v>0.5</v>
      </c>
      <c r="Y538" s="11">
        <f>VLOOKUP(G538,'[1]historico puntos 2022-2025'!$A$2:$G$19,7,0)</f>
        <v>49</v>
      </c>
      <c r="Z538" t="s">
        <v>38</v>
      </c>
      <c r="AA538">
        <f t="shared" si="26"/>
        <v>536</v>
      </c>
    </row>
    <row r="539" spans="1:27" hidden="1" x14ac:dyDescent="0.3">
      <c r="A539" t="str">
        <f t="shared" si="24"/>
        <v>2024-Atlético San Luis</v>
      </c>
      <c r="B539" t="str">
        <f t="shared" si="25"/>
        <v>2024-Xolos</v>
      </c>
      <c r="C539">
        <v>2024</v>
      </c>
      <c r="D539" t="s">
        <v>15</v>
      </c>
      <c r="E539" s="2">
        <v>3</v>
      </c>
      <c r="F539" s="2">
        <v>3</v>
      </c>
      <c r="G539" t="s">
        <v>19</v>
      </c>
      <c r="H539">
        <v>45.95</v>
      </c>
      <c r="I539">
        <v>4.5999999999999996</v>
      </c>
      <c r="J539">
        <v>13.84</v>
      </c>
      <c r="K539">
        <v>13.84</v>
      </c>
      <c r="L539">
        <v>13.84</v>
      </c>
      <c r="M539" s="6">
        <v>0.68421052631578949</v>
      </c>
      <c r="N539" s="6">
        <v>5.2631578947368418E-2</v>
      </c>
      <c r="O539" s="6">
        <v>0.26315789473684209</v>
      </c>
      <c r="P539" s="10">
        <v>59</v>
      </c>
      <c r="Q539">
        <v>39.15</v>
      </c>
      <c r="R539">
        <v>3.92</v>
      </c>
      <c r="S539">
        <v>11.75</v>
      </c>
      <c r="T539">
        <v>11.75</v>
      </c>
      <c r="U539">
        <v>11.75</v>
      </c>
      <c r="V539" s="6">
        <v>0.27777777777777779</v>
      </c>
      <c r="W539" s="6">
        <v>0.22222222222222221</v>
      </c>
      <c r="X539" s="6">
        <v>0.5</v>
      </c>
      <c r="Y539" s="11">
        <f>VLOOKUP(G539,'[1]historico puntos 2022-2025'!$A$2:$G$19,7,0)</f>
        <v>49</v>
      </c>
      <c r="Z539" t="s">
        <v>39</v>
      </c>
      <c r="AA539">
        <f t="shared" si="26"/>
        <v>537</v>
      </c>
    </row>
    <row r="540" spans="1:27" hidden="1" x14ac:dyDescent="0.3">
      <c r="A540" t="str">
        <f t="shared" si="24"/>
        <v>2024-Xolos</v>
      </c>
      <c r="B540" t="str">
        <f t="shared" si="25"/>
        <v>2024-Querétaro</v>
      </c>
      <c r="C540">
        <v>2024</v>
      </c>
      <c r="D540" t="s">
        <v>19</v>
      </c>
      <c r="E540" s="2">
        <v>1</v>
      </c>
      <c r="F540" s="2">
        <v>1</v>
      </c>
      <c r="G540" t="s">
        <v>22</v>
      </c>
      <c r="H540" t="s">
        <v>37</v>
      </c>
      <c r="I540" t="s">
        <v>37</v>
      </c>
      <c r="J540" t="s">
        <v>37</v>
      </c>
      <c r="K540" t="s">
        <v>37</v>
      </c>
      <c r="L540" t="s">
        <v>37</v>
      </c>
      <c r="M540" s="6">
        <v>0.55000000000000004</v>
      </c>
      <c r="N540" s="6">
        <v>0.15</v>
      </c>
      <c r="O540" s="6">
        <v>0.3</v>
      </c>
      <c r="P540" s="10">
        <v>49</v>
      </c>
      <c r="Q540" t="s">
        <v>37</v>
      </c>
      <c r="R540" t="s">
        <v>37</v>
      </c>
      <c r="S540" t="s">
        <v>37</v>
      </c>
      <c r="T540" t="s">
        <v>37</v>
      </c>
      <c r="U540" t="s">
        <v>37</v>
      </c>
      <c r="V540" s="6">
        <v>0.17647058823529413</v>
      </c>
      <c r="W540" s="6">
        <v>0.17647058823529413</v>
      </c>
      <c r="X540" s="6">
        <v>0.6470588235294118</v>
      </c>
      <c r="Y540" s="11">
        <f>VLOOKUP(G540,'[1]historico puntos 2022-2025'!$A$2:$G$19,7,0)</f>
        <v>64</v>
      </c>
      <c r="Z540" t="s">
        <v>39</v>
      </c>
      <c r="AA540">
        <f t="shared" si="26"/>
        <v>538</v>
      </c>
    </row>
    <row r="541" spans="1:27" hidden="1" x14ac:dyDescent="0.3">
      <c r="A541" t="str">
        <f t="shared" si="24"/>
        <v>2024-Pachuca</v>
      </c>
      <c r="B541" t="str">
        <f t="shared" si="25"/>
        <v>2024-Xolos</v>
      </c>
      <c r="C541">
        <v>2024</v>
      </c>
      <c r="D541" t="s">
        <v>0</v>
      </c>
      <c r="E541" s="2">
        <v>3</v>
      </c>
      <c r="F541" s="2">
        <v>2</v>
      </c>
      <c r="G541" t="s">
        <v>19</v>
      </c>
      <c r="H541">
        <v>56.6</v>
      </c>
      <c r="I541">
        <v>5.66</v>
      </c>
      <c r="J541">
        <v>16.98</v>
      </c>
      <c r="K541">
        <v>16.98</v>
      </c>
      <c r="L541">
        <v>16.98</v>
      </c>
      <c r="M541" s="6">
        <v>0.3888888888888889</v>
      </c>
      <c r="N541" s="6">
        <v>0.33333333333333331</v>
      </c>
      <c r="O541" s="6">
        <v>0.27777777777777779</v>
      </c>
      <c r="P541" s="10">
        <v>98</v>
      </c>
      <c r="Q541">
        <v>39.15</v>
      </c>
      <c r="R541">
        <v>3.92</v>
      </c>
      <c r="S541">
        <v>11.75</v>
      </c>
      <c r="T541">
        <v>11.75</v>
      </c>
      <c r="U541">
        <v>11.75</v>
      </c>
      <c r="V541" s="6">
        <v>0.27777777777777779</v>
      </c>
      <c r="W541" s="6">
        <v>0.22222222222222221</v>
      </c>
      <c r="X541" s="6">
        <v>0.5</v>
      </c>
      <c r="Y541" s="11">
        <f>VLOOKUP(G541,'[1]historico puntos 2022-2025'!$A$2:$G$19,7,0)</f>
        <v>49</v>
      </c>
      <c r="Z541" t="s">
        <v>38</v>
      </c>
      <c r="AA541">
        <f t="shared" si="26"/>
        <v>539</v>
      </c>
    </row>
    <row r="542" spans="1:27" hidden="1" x14ac:dyDescent="0.3">
      <c r="A542" t="str">
        <f t="shared" si="24"/>
        <v>2024-Cruz Azul</v>
      </c>
      <c r="B542" t="str">
        <f t="shared" si="25"/>
        <v>2024-Xolos</v>
      </c>
      <c r="C542">
        <v>2024</v>
      </c>
      <c r="D542" t="s">
        <v>10</v>
      </c>
      <c r="E542" s="2">
        <v>1</v>
      </c>
      <c r="F542" s="2">
        <v>0</v>
      </c>
      <c r="G542" t="s">
        <v>19</v>
      </c>
      <c r="H542">
        <v>78.849999999999994</v>
      </c>
      <c r="I542">
        <v>7.89</v>
      </c>
      <c r="J542">
        <v>23.66</v>
      </c>
      <c r="K542">
        <v>23.66</v>
      </c>
      <c r="L542">
        <v>23.66</v>
      </c>
      <c r="M542" s="6">
        <v>0.7142857142857143</v>
      </c>
      <c r="N542" s="6">
        <v>0.23809523809523808</v>
      </c>
      <c r="O542" s="6">
        <v>4.7619047619047616E-2</v>
      </c>
      <c r="P542" s="10">
        <v>107</v>
      </c>
      <c r="Q542">
        <v>39.15</v>
      </c>
      <c r="R542">
        <v>3.92</v>
      </c>
      <c r="S542">
        <v>11.75</v>
      </c>
      <c r="T542">
        <v>11.75</v>
      </c>
      <c r="U542">
        <v>11.75</v>
      </c>
      <c r="V542" s="6">
        <v>0.27777777777777779</v>
      </c>
      <c r="W542" s="6">
        <v>0.22222222222222221</v>
      </c>
      <c r="X542" s="6">
        <v>0.5</v>
      </c>
      <c r="Y542" s="11">
        <f>VLOOKUP(G542,'[1]historico puntos 2022-2025'!$A$2:$G$19,7,0)</f>
        <v>49</v>
      </c>
      <c r="Z542" t="s">
        <v>38</v>
      </c>
      <c r="AA542">
        <f t="shared" si="26"/>
        <v>540</v>
      </c>
    </row>
    <row r="543" spans="1:27" hidden="1" x14ac:dyDescent="0.3">
      <c r="A543" t="str">
        <f t="shared" si="24"/>
        <v>2024-Xolos</v>
      </c>
      <c r="B543" t="str">
        <f t="shared" si="25"/>
        <v>2024-Chivas</v>
      </c>
      <c r="C543">
        <v>2024</v>
      </c>
      <c r="D543" t="s">
        <v>19</v>
      </c>
      <c r="E543" s="2">
        <v>1</v>
      </c>
      <c r="F543" s="2">
        <v>1</v>
      </c>
      <c r="G543" t="s">
        <v>21</v>
      </c>
      <c r="H543" t="s">
        <v>37</v>
      </c>
      <c r="I543" t="s">
        <v>37</v>
      </c>
      <c r="J543" t="s">
        <v>37</v>
      </c>
      <c r="K543" t="s">
        <v>37</v>
      </c>
      <c r="L543" t="s">
        <v>37</v>
      </c>
      <c r="M543" s="6">
        <v>0.55000000000000004</v>
      </c>
      <c r="N543" s="6">
        <v>0.15</v>
      </c>
      <c r="O543" s="6">
        <v>0.3</v>
      </c>
      <c r="P543" s="10">
        <v>49</v>
      </c>
      <c r="Q543" t="s">
        <v>37</v>
      </c>
      <c r="R543" t="s">
        <v>37</v>
      </c>
      <c r="S543" t="s">
        <v>37</v>
      </c>
      <c r="T543" t="s">
        <v>37</v>
      </c>
      <c r="U543" t="s">
        <v>37</v>
      </c>
      <c r="V543" s="6">
        <v>0.23529411764705882</v>
      </c>
      <c r="W543" s="6">
        <v>0.23529411764705882</v>
      </c>
      <c r="X543" s="6">
        <v>0.52941176470588236</v>
      </c>
      <c r="Y543" s="11">
        <f>VLOOKUP(G543,'[1]historico puntos 2022-2025'!$A$2:$G$19,7,0)</f>
        <v>99</v>
      </c>
      <c r="Z543" t="s">
        <v>39</v>
      </c>
      <c r="AA543">
        <f t="shared" si="26"/>
        <v>541</v>
      </c>
    </row>
    <row r="544" spans="1:27" hidden="1" x14ac:dyDescent="0.3">
      <c r="A544" t="str">
        <f t="shared" si="24"/>
        <v>2024-Atlas</v>
      </c>
      <c r="B544" t="str">
        <f t="shared" si="25"/>
        <v>2024-Xolos</v>
      </c>
      <c r="C544">
        <v>2024</v>
      </c>
      <c r="D544" t="s">
        <v>5</v>
      </c>
      <c r="E544" s="2">
        <v>0</v>
      </c>
      <c r="F544" s="2">
        <v>0</v>
      </c>
      <c r="G544" t="s">
        <v>19</v>
      </c>
      <c r="H544">
        <v>28.95</v>
      </c>
      <c r="I544">
        <v>2.9</v>
      </c>
      <c r="J544">
        <v>8.68</v>
      </c>
      <c r="K544">
        <v>8.68</v>
      </c>
      <c r="L544">
        <v>8.68</v>
      </c>
      <c r="M544" s="6" t="s">
        <v>37</v>
      </c>
      <c r="N544" s="6" t="s">
        <v>37</v>
      </c>
      <c r="O544" s="6" t="s">
        <v>37</v>
      </c>
      <c r="P544" s="10">
        <v>60</v>
      </c>
      <c r="Q544">
        <v>39.15</v>
      </c>
      <c r="R544">
        <v>3.92</v>
      </c>
      <c r="S544">
        <v>11.75</v>
      </c>
      <c r="T544">
        <v>11.75</v>
      </c>
      <c r="U544">
        <v>11.75</v>
      </c>
      <c r="V544" s="6">
        <v>0.27777777777777779</v>
      </c>
      <c r="W544" s="6">
        <v>0.22222222222222221</v>
      </c>
      <c r="X544" s="6">
        <v>0.5</v>
      </c>
      <c r="Y544" s="11">
        <f>VLOOKUP(G544,'[1]historico puntos 2022-2025'!$A$2:$G$19,7,0)</f>
        <v>49</v>
      </c>
      <c r="Z544" t="s">
        <v>39</v>
      </c>
      <c r="AA544">
        <f t="shared" si="26"/>
        <v>542</v>
      </c>
    </row>
    <row r="545" spans="1:27" hidden="1" x14ac:dyDescent="0.3">
      <c r="A545" t="str">
        <f t="shared" si="24"/>
        <v>2024-Xolos</v>
      </c>
      <c r="B545" t="str">
        <f t="shared" si="25"/>
        <v>2024-América</v>
      </c>
      <c r="C545">
        <v>2024</v>
      </c>
      <c r="D545" t="s">
        <v>19</v>
      </c>
      <c r="E545" s="2">
        <v>0</v>
      </c>
      <c r="F545" s="2">
        <v>2</v>
      </c>
      <c r="G545" t="s">
        <v>14</v>
      </c>
      <c r="H545" t="s">
        <v>37</v>
      </c>
      <c r="I545" t="s">
        <v>37</v>
      </c>
      <c r="J545" t="s">
        <v>37</v>
      </c>
      <c r="K545" t="s">
        <v>37</v>
      </c>
      <c r="L545" t="s">
        <v>37</v>
      </c>
      <c r="M545" s="6">
        <v>0.55000000000000004</v>
      </c>
      <c r="N545" s="6">
        <v>0.15</v>
      </c>
      <c r="O545" s="6">
        <v>0.3</v>
      </c>
      <c r="P545" s="10">
        <v>49</v>
      </c>
      <c r="Q545">
        <v>92.45</v>
      </c>
      <c r="R545">
        <v>9.25</v>
      </c>
      <c r="S545">
        <v>27.73</v>
      </c>
      <c r="T545">
        <v>27.73</v>
      </c>
      <c r="U545">
        <v>27.73</v>
      </c>
      <c r="V545" s="6">
        <v>0.375</v>
      </c>
      <c r="W545" s="6">
        <v>0.29166666666666669</v>
      </c>
      <c r="X545" s="6">
        <v>0.33333333333333331</v>
      </c>
      <c r="Y545" s="11">
        <f>VLOOKUP(G545,'[1]historico puntos 2022-2025'!$A$2:$G$19,7,0)</f>
        <v>133</v>
      </c>
      <c r="Z545" t="s">
        <v>40</v>
      </c>
      <c r="AA545">
        <f t="shared" si="26"/>
        <v>543</v>
      </c>
    </row>
    <row r="546" spans="1:27" hidden="1" x14ac:dyDescent="0.3">
      <c r="A546" t="str">
        <f t="shared" si="24"/>
        <v>2023-Xolos</v>
      </c>
      <c r="B546" t="str">
        <f t="shared" si="25"/>
        <v>2023-Pachuca</v>
      </c>
      <c r="C546">
        <v>2023</v>
      </c>
      <c r="D546" t="s">
        <v>19</v>
      </c>
      <c r="E546" s="2">
        <v>2</v>
      </c>
      <c r="F546" s="2">
        <v>3</v>
      </c>
      <c r="G546" t="s">
        <v>0</v>
      </c>
      <c r="H546">
        <v>38.299999999999997</v>
      </c>
      <c r="I546">
        <v>3.83</v>
      </c>
      <c r="J546">
        <v>11.49</v>
      </c>
      <c r="K546">
        <v>11.49</v>
      </c>
      <c r="L546">
        <v>11.49</v>
      </c>
      <c r="M546" s="6">
        <v>0.55000000000000004</v>
      </c>
      <c r="N546" s="6">
        <v>0.15</v>
      </c>
      <c r="O546" s="6">
        <v>0.3</v>
      </c>
      <c r="P546" s="10">
        <v>49</v>
      </c>
      <c r="Q546">
        <v>51.25</v>
      </c>
      <c r="R546">
        <v>5.13</v>
      </c>
      <c r="S546">
        <v>15.38</v>
      </c>
      <c r="T546">
        <v>15.38</v>
      </c>
      <c r="U546">
        <v>15.38</v>
      </c>
      <c r="V546" s="6">
        <v>0.26315789473684209</v>
      </c>
      <c r="W546" s="6">
        <v>0.15789473684210525</v>
      </c>
      <c r="X546" s="6">
        <v>0.57894736842105265</v>
      </c>
      <c r="Y546" s="11">
        <f>VLOOKUP(G546,'[1]historico puntos 2022-2025'!$A$2:$G$19,7,0)</f>
        <v>98</v>
      </c>
      <c r="Z546" t="s">
        <v>40</v>
      </c>
      <c r="AA546">
        <f t="shared" si="26"/>
        <v>544</v>
      </c>
    </row>
    <row r="547" spans="1:27" hidden="1" x14ac:dyDescent="0.3">
      <c r="A547" t="str">
        <f t="shared" si="24"/>
        <v>2023-América</v>
      </c>
      <c r="B547" t="str">
        <f t="shared" si="25"/>
        <v>2023-Xolos</v>
      </c>
      <c r="C547">
        <v>2023</v>
      </c>
      <c r="D547" t="s">
        <v>14</v>
      </c>
      <c r="E547" s="2">
        <v>3</v>
      </c>
      <c r="F547" s="2">
        <v>0</v>
      </c>
      <c r="G547" t="s">
        <v>19</v>
      </c>
      <c r="H547">
        <v>84.2</v>
      </c>
      <c r="I547">
        <v>8.42</v>
      </c>
      <c r="J547">
        <v>25.26</v>
      </c>
      <c r="K547">
        <v>25.26</v>
      </c>
      <c r="L547">
        <v>25.26</v>
      </c>
      <c r="M547" s="6">
        <v>0.65217391304347827</v>
      </c>
      <c r="N547" s="6">
        <v>0.21739130434782608</v>
      </c>
      <c r="O547" s="6">
        <v>0.13043478260869565</v>
      </c>
      <c r="P547" s="10">
        <v>133</v>
      </c>
      <c r="Q547" t="s">
        <v>37</v>
      </c>
      <c r="R547" t="s">
        <v>37</v>
      </c>
      <c r="S547" t="s">
        <v>37</v>
      </c>
      <c r="T547" t="s">
        <v>37</v>
      </c>
      <c r="U547" t="s">
        <v>37</v>
      </c>
      <c r="V547" s="6">
        <v>0.27777777777777779</v>
      </c>
      <c r="W547" s="6">
        <v>0.22222222222222221</v>
      </c>
      <c r="X547" s="6">
        <v>0.5</v>
      </c>
      <c r="Y547" s="11">
        <f>VLOOKUP(G547,'[1]historico puntos 2022-2025'!$A$2:$G$19,7,0)</f>
        <v>49</v>
      </c>
      <c r="Z547" t="s">
        <v>38</v>
      </c>
      <c r="AA547">
        <f t="shared" si="26"/>
        <v>545</v>
      </c>
    </row>
    <row r="548" spans="1:27" hidden="1" x14ac:dyDescent="0.3">
      <c r="A548" t="str">
        <f t="shared" si="24"/>
        <v>2023-Xolos</v>
      </c>
      <c r="B548" t="str">
        <f t="shared" si="25"/>
        <v>2023-Tigres</v>
      </c>
      <c r="C548">
        <v>2023</v>
      </c>
      <c r="D548" t="s">
        <v>19</v>
      </c>
      <c r="E548" s="2">
        <v>2</v>
      </c>
      <c r="F548" s="2">
        <v>0</v>
      </c>
      <c r="G548" t="s">
        <v>17</v>
      </c>
      <c r="H548">
        <v>38.299999999999997</v>
      </c>
      <c r="I548">
        <v>3.83</v>
      </c>
      <c r="J548">
        <v>11.49</v>
      </c>
      <c r="K548">
        <v>11.49</v>
      </c>
      <c r="L548">
        <v>11.49</v>
      </c>
      <c r="M548" s="6">
        <v>0.55000000000000004</v>
      </c>
      <c r="N548" s="6">
        <v>0.15</v>
      </c>
      <c r="O548" s="6">
        <v>0.3</v>
      </c>
      <c r="P548" s="10">
        <v>49</v>
      </c>
      <c r="Q548" t="s">
        <v>37</v>
      </c>
      <c r="R548" t="s">
        <v>37</v>
      </c>
      <c r="S548" t="s">
        <v>37</v>
      </c>
      <c r="T548" t="s">
        <v>37</v>
      </c>
      <c r="U548" t="s">
        <v>37</v>
      </c>
      <c r="V548" s="6">
        <v>0.3</v>
      </c>
      <c r="W548" s="6">
        <v>0.3</v>
      </c>
      <c r="X548" s="6">
        <v>0.4</v>
      </c>
      <c r="Y548" s="11">
        <f>VLOOKUP(G548,'[1]historico puntos 2022-2025'!$A$2:$G$19,7,0)</f>
        <v>107</v>
      </c>
      <c r="Z548" t="s">
        <v>38</v>
      </c>
      <c r="AA548">
        <f t="shared" si="26"/>
        <v>546</v>
      </c>
    </row>
    <row r="549" spans="1:27" hidden="1" x14ac:dyDescent="0.3">
      <c r="A549" t="str">
        <f t="shared" si="24"/>
        <v>2023-Xolos</v>
      </c>
      <c r="B549" t="str">
        <f t="shared" si="25"/>
        <v>2023-Atlas</v>
      </c>
      <c r="C549">
        <v>2023</v>
      </c>
      <c r="D549" t="s">
        <v>19</v>
      </c>
      <c r="E549" s="2">
        <v>2</v>
      </c>
      <c r="F549" s="2">
        <v>0</v>
      </c>
      <c r="G549" t="s">
        <v>5</v>
      </c>
      <c r="H549">
        <v>38.299999999999997</v>
      </c>
      <c r="I549">
        <v>3.83</v>
      </c>
      <c r="J549">
        <v>11.49</v>
      </c>
      <c r="K549">
        <v>11.49</v>
      </c>
      <c r="L549">
        <v>11.49</v>
      </c>
      <c r="M549" s="6">
        <v>0.55000000000000004</v>
      </c>
      <c r="N549" s="6">
        <v>0.15</v>
      </c>
      <c r="O549" s="6">
        <v>0.3</v>
      </c>
      <c r="P549" s="10">
        <v>49</v>
      </c>
      <c r="Q549">
        <v>30.7</v>
      </c>
      <c r="R549">
        <v>3.07</v>
      </c>
      <c r="S549">
        <v>9.2100000000000009</v>
      </c>
      <c r="T549">
        <v>9.2100000000000009</v>
      </c>
      <c r="U549">
        <v>9.2100000000000009</v>
      </c>
      <c r="V549" s="6">
        <v>0.26315789473684209</v>
      </c>
      <c r="W549" s="6">
        <v>0.31578947368421051</v>
      </c>
      <c r="X549" s="6">
        <v>0.42105263157894735</v>
      </c>
      <c r="Y549" s="11">
        <f>VLOOKUP(G549,'[1]historico puntos 2022-2025'!$A$2:$G$19,7,0)</f>
        <v>60</v>
      </c>
      <c r="Z549" t="s">
        <v>38</v>
      </c>
      <c r="AA549">
        <f t="shared" si="26"/>
        <v>547</v>
      </c>
    </row>
    <row r="550" spans="1:27" hidden="1" x14ac:dyDescent="0.3">
      <c r="A550" t="str">
        <f t="shared" si="24"/>
        <v>2023-Monterrey</v>
      </c>
      <c r="B550" t="str">
        <f t="shared" si="25"/>
        <v>2023-Xolos</v>
      </c>
      <c r="C550">
        <v>2023</v>
      </c>
      <c r="D550" t="s">
        <v>3</v>
      </c>
      <c r="E550" s="2">
        <v>3</v>
      </c>
      <c r="F550" s="2">
        <v>1</v>
      </c>
      <c r="G550" t="s">
        <v>19</v>
      </c>
      <c r="H550">
        <v>88.1</v>
      </c>
      <c r="I550">
        <v>8.81</v>
      </c>
      <c r="J550">
        <v>26.43</v>
      </c>
      <c r="K550">
        <v>26.43</v>
      </c>
      <c r="L550">
        <v>26.43</v>
      </c>
      <c r="M550" s="6">
        <v>0.60869565217391308</v>
      </c>
      <c r="N550" s="6">
        <v>0.17391304347826086</v>
      </c>
      <c r="O550" s="6">
        <v>0.21739130434782608</v>
      </c>
      <c r="P550" s="10">
        <v>118</v>
      </c>
      <c r="Q550" t="s">
        <v>37</v>
      </c>
      <c r="R550" t="s">
        <v>37</v>
      </c>
      <c r="S550" t="s">
        <v>37</v>
      </c>
      <c r="T550" t="s">
        <v>37</v>
      </c>
      <c r="U550" t="s">
        <v>37</v>
      </c>
      <c r="V550" s="6">
        <v>0.27777777777777779</v>
      </c>
      <c r="W550" s="6">
        <v>0.22222222222222221</v>
      </c>
      <c r="X550" s="6">
        <v>0.5</v>
      </c>
      <c r="Y550" s="11">
        <f>VLOOKUP(G550,'[1]historico puntos 2022-2025'!$A$2:$G$19,7,0)</f>
        <v>49</v>
      </c>
      <c r="Z550" t="s">
        <v>38</v>
      </c>
      <c r="AA550">
        <f t="shared" si="26"/>
        <v>548</v>
      </c>
    </row>
    <row r="551" spans="1:27" hidden="1" x14ac:dyDescent="0.3">
      <c r="A551" t="str">
        <f t="shared" si="24"/>
        <v>2023-Xolos</v>
      </c>
      <c r="B551" t="str">
        <f t="shared" si="25"/>
        <v>2023-Atlético San Luis</v>
      </c>
      <c r="C551">
        <v>2023</v>
      </c>
      <c r="D551" t="s">
        <v>19</v>
      </c>
      <c r="E551" s="2">
        <v>2</v>
      </c>
      <c r="F551" s="2">
        <v>1</v>
      </c>
      <c r="G551" t="s">
        <v>15</v>
      </c>
      <c r="H551">
        <v>38.299999999999997</v>
      </c>
      <c r="I551">
        <v>3.83</v>
      </c>
      <c r="J551">
        <v>11.49</v>
      </c>
      <c r="K551">
        <v>11.49</v>
      </c>
      <c r="L551">
        <v>11.49</v>
      </c>
      <c r="M551" s="6">
        <v>0.55000000000000004</v>
      </c>
      <c r="N551" s="6">
        <v>0.15</v>
      </c>
      <c r="O551" s="6">
        <v>0.3</v>
      </c>
      <c r="P551" s="10">
        <v>49</v>
      </c>
      <c r="Q551">
        <v>35.85</v>
      </c>
      <c r="R551">
        <v>3.59</v>
      </c>
      <c r="S551">
        <v>10.77</v>
      </c>
      <c r="T551">
        <v>10.77</v>
      </c>
      <c r="U551">
        <v>10.77</v>
      </c>
      <c r="V551" s="6">
        <v>0.21052631578947367</v>
      </c>
      <c r="W551" s="6">
        <v>0.15789473684210525</v>
      </c>
      <c r="X551" s="6">
        <v>0.63157894736842102</v>
      </c>
      <c r="Y551" s="11">
        <f>VLOOKUP(G551,'[1]historico puntos 2022-2025'!$A$2:$G$19,7,0)</f>
        <v>59</v>
      </c>
      <c r="Z551" t="s">
        <v>38</v>
      </c>
      <c r="AA551">
        <f t="shared" si="26"/>
        <v>549</v>
      </c>
    </row>
    <row r="552" spans="1:27" hidden="1" x14ac:dyDescent="0.3">
      <c r="A552" t="str">
        <f t="shared" si="24"/>
        <v>2023-Santos Laguna</v>
      </c>
      <c r="B552" t="str">
        <f t="shared" si="25"/>
        <v>2023-Xolos</v>
      </c>
      <c r="C552">
        <v>2023</v>
      </c>
      <c r="D552" t="s">
        <v>11</v>
      </c>
      <c r="E552" s="2">
        <v>2</v>
      </c>
      <c r="F552" s="2">
        <v>1</v>
      </c>
      <c r="G552" t="s">
        <v>19</v>
      </c>
      <c r="H552">
        <v>46</v>
      </c>
      <c r="I552">
        <v>4.5999999999999996</v>
      </c>
      <c r="J552">
        <v>13.8</v>
      </c>
      <c r="K552">
        <v>13.8</v>
      </c>
      <c r="L552">
        <v>13.8</v>
      </c>
      <c r="M552" s="6">
        <v>0.23529411764705882</v>
      </c>
      <c r="N552" s="6">
        <v>0.17647058823529413</v>
      </c>
      <c r="O552" s="6">
        <v>0.58823529411764708</v>
      </c>
      <c r="P552" s="10">
        <v>46</v>
      </c>
      <c r="Q552" t="s">
        <v>37</v>
      </c>
      <c r="R552" t="s">
        <v>37</v>
      </c>
      <c r="S552" t="s">
        <v>37</v>
      </c>
      <c r="T552" t="s">
        <v>37</v>
      </c>
      <c r="U552" t="s">
        <v>37</v>
      </c>
      <c r="V552" s="6">
        <v>0.27777777777777779</v>
      </c>
      <c r="W552" s="6">
        <v>0.22222222222222221</v>
      </c>
      <c r="X552" s="6">
        <v>0.5</v>
      </c>
      <c r="Y552" s="11">
        <f>VLOOKUP(G552,'[1]historico puntos 2022-2025'!$A$2:$G$19,7,0)</f>
        <v>49</v>
      </c>
      <c r="Z552" t="s">
        <v>38</v>
      </c>
      <c r="AA552">
        <f t="shared" si="26"/>
        <v>550</v>
      </c>
    </row>
    <row r="553" spans="1:27" hidden="1" x14ac:dyDescent="0.3">
      <c r="A553" t="str">
        <f t="shared" si="24"/>
        <v>2023-León</v>
      </c>
      <c r="B553" t="str">
        <f t="shared" si="25"/>
        <v>2023-Xolos</v>
      </c>
      <c r="C553">
        <v>2023</v>
      </c>
      <c r="D553" t="s">
        <v>36</v>
      </c>
      <c r="E553" s="2">
        <v>1</v>
      </c>
      <c r="F553" s="2">
        <v>0</v>
      </c>
      <c r="G553" t="s">
        <v>19</v>
      </c>
      <c r="H553">
        <v>41.5</v>
      </c>
      <c r="I553">
        <v>4.1500000000000004</v>
      </c>
      <c r="J553">
        <v>12.45</v>
      </c>
      <c r="K553">
        <v>12.45</v>
      </c>
      <c r="L553">
        <v>12.45</v>
      </c>
      <c r="M553" s="6">
        <v>0.3888888888888889</v>
      </c>
      <c r="N553" s="6">
        <v>0.3888888888888889</v>
      </c>
      <c r="O553" s="6">
        <v>0.22222222222222221</v>
      </c>
      <c r="P553" s="10">
        <v>87</v>
      </c>
      <c r="Q553" t="s">
        <v>37</v>
      </c>
      <c r="R553" t="s">
        <v>37</v>
      </c>
      <c r="S553" t="s">
        <v>37</v>
      </c>
      <c r="T553" t="s">
        <v>37</v>
      </c>
      <c r="U553" t="s">
        <v>37</v>
      </c>
      <c r="V553" s="6">
        <v>0.27777777777777779</v>
      </c>
      <c r="W553" s="6">
        <v>0.22222222222222221</v>
      </c>
      <c r="X553" s="6">
        <v>0.5</v>
      </c>
      <c r="Y553" s="11">
        <f>VLOOKUP(G553,'[1]historico puntos 2022-2025'!$A$2:$G$19,7,0)</f>
        <v>49</v>
      </c>
      <c r="Z553" t="s">
        <v>38</v>
      </c>
      <c r="AA553">
        <f t="shared" si="26"/>
        <v>551</v>
      </c>
    </row>
    <row r="554" spans="1:27" s="8" customFormat="1" hidden="1" x14ac:dyDescent="0.3">
      <c r="A554" t="str">
        <f t="shared" si="24"/>
        <v>2023-Xolos</v>
      </c>
      <c r="B554" t="str">
        <f t="shared" si="25"/>
        <v>2023-Toluca</v>
      </c>
      <c r="C554" s="8">
        <v>2023</v>
      </c>
      <c r="D554" s="8" t="s">
        <v>19</v>
      </c>
      <c r="E554" s="9">
        <v>2</v>
      </c>
      <c r="F554" s="9">
        <v>1</v>
      </c>
      <c r="G554" s="8" t="s">
        <v>2</v>
      </c>
      <c r="H554" s="8">
        <v>38.299999999999997</v>
      </c>
      <c r="I554" s="8">
        <v>3.83</v>
      </c>
      <c r="J554" s="8">
        <v>11.49</v>
      </c>
      <c r="K554" s="8">
        <v>11.49</v>
      </c>
      <c r="L554" s="8">
        <v>11.49</v>
      </c>
      <c r="M554" s="6">
        <v>0.55000000000000004</v>
      </c>
      <c r="N554" s="6">
        <v>0.15</v>
      </c>
      <c r="O554" s="6">
        <v>0.3</v>
      </c>
      <c r="P554" s="10">
        <v>49</v>
      </c>
      <c r="Q554" s="8">
        <v>66.2</v>
      </c>
      <c r="R554" s="8">
        <v>6.62</v>
      </c>
      <c r="S554" s="8">
        <v>19.86</v>
      </c>
      <c r="T554" s="8">
        <v>19.86</v>
      </c>
      <c r="U554" s="8">
        <v>19.86</v>
      </c>
      <c r="V554" s="6">
        <v>0.38095238095238093</v>
      </c>
      <c r="W554" s="6">
        <v>0.33333333333333331</v>
      </c>
      <c r="X554" s="6">
        <v>0.2857142857142857</v>
      </c>
      <c r="Y554" s="11">
        <f>VLOOKUP(G554,'[1]historico puntos 2022-2025'!$A$2:$G$19,7,0)</f>
        <v>118</v>
      </c>
      <c r="Z554" s="8" t="s">
        <v>38</v>
      </c>
      <c r="AA554">
        <f t="shared" si="26"/>
        <v>552</v>
      </c>
    </row>
    <row r="555" spans="1:27" hidden="1" x14ac:dyDescent="0.3">
      <c r="A555" t="str">
        <f t="shared" si="24"/>
        <v>2023-Xolos</v>
      </c>
      <c r="B555" t="str">
        <f t="shared" si="25"/>
        <v>2023-Mazatlán</v>
      </c>
      <c r="C555">
        <v>2023</v>
      </c>
      <c r="D555" t="s">
        <v>19</v>
      </c>
      <c r="E555" s="2">
        <v>1</v>
      </c>
      <c r="F555" s="2">
        <v>1</v>
      </c>
      <c r="G555" t="s">
        <v>20</v>
      </c>
      <c r="H555">
        <v>38.299999999999997</v>
      </c>
      <c r="I555">
        <v>3.83</v>
      </c>
      <c r="J555">
        <v>11.49</v>
      </c>
      <c r="K555">
        <v>11.49</v>
      </c>
      <c r="L555">
        <v>11.49</v>
      </c>
      <c r="M555" s="6">
        <v>0.55000000000000004</v>
      </c>
      <c r="N555" s="6">
        <v>0.15</v>
      </c>
      <c r="O555" s="6">
        <v>0.3</v>
      </c>
      <c r="P555" s="10">
        <v>49</v>
      </c>
      <c r="Q555">
        <v>35.049999999999997</v>
      </c>
      <c r="R555">
        <v>3.5</v>
      </c>
      <c r="S555">
        <v>10.51</v>
      </c>
      <c r="T555">
        <v>10.51</v>
      </c>
      <c r="U555">
        <v>10.51</v>
      </c>
      <c r="V555" s="6">
        <v>5.8823529411764705E-2</v>
      </c>
      <c r="W555" s="6">
        <v>0.29411764705882354</v>
      </c>
      <c r="X555" s="6">
        <v>0.6470588235294118</v>
      </c>
      <c r="Y555" s="11">
        <f>VLOOKUP(G555,'[1]historico puntos 2022-2025'!$A$2:$G$19,7,0)</f>
        <v>40</v>
      </c>
      <c r="Z555" t="s">
        <v>39</v>
      </c>
      <c r="AA555">
        <f t="shared" si="26"/>
        <v>553</v>
      </c>
    </row>
    <row r="556" spans="1:27" hidden="1" x14ac:dyDescent="0.3">
      <c r="A556" t="str">
        <f t="shared" si="24"/>
        <v>2023-Chivas</v>
      </c>
      <c r="B556" t="str">
        <f t="shared" si="25"/>
        <v>2023-Xolos</v>
      </c>
      <c r="C556">
        <v>2023</v>
      </c>
      <c r="D556" t="s">
        <v>21</v>
      </c>
      <c r="E556" s="2">
        <v>1</v>
      </c>
      <c r="F556" s="2">
        <v>0</v>
      </c>
      <c r="G556" t="s">
        <v>19</v>
      </c>
      <c r="H556">
        <v>69.7</v>
      </c>
      <c r="I556">
        <v>6.97</v>
      </c>
      <c r="J556">
        <v>20.91</v>
      </c>
      <c r="K556">
        <v>20.91</v>
      </c>
      <c r="L556">
        <v>20.91</v>
      </c>
      <c r="M556" s="6">
        <v>0.44444444444444442</v>
      </c>
      <c r="N556" s="6">
        <v>0.33333333333333331</v>
      </c>
      <c r="O556" s="6">
        <v>0.22222222222222221</v>
      </c>
      <c r="P556" s="10">
        <v>99</v>
      </c>
      <c r="Q556" t="s">
        <v>37</v>
      </c>
      <c r="R556" t="s">
        <v>37</v>
      </c>
      <c r="S556" t="s">
        <v>37</v>
      </c>
      <c r="T556" t="s">
        <v>37</v>
      </c>
      <c r="U556" t="s">
        <v>37</v>
      </c>
      <c r="V556" s="6">
        <v>0.27777777777777779</v>
      </c>
      <c r="W556" s="6">
        <v>0.22222222222222221</v>
      </c>
      <c r="X556" s="6">
        <v>0.5</v>
      </c>
      <c r="Y556" s="11">
        <f>VLOOKUP(G556,'[1]historico puntos 2022-2025'!$A$2:$G$19,7,0)</f>
        <v>49</v>
      </c>
      <c r="Z556" t="s">
        <v>38</v>
      </c>
      <c r="AA556">
        <f t="shared" si="26"/>
        <v>554</v>
      </c>
    </row>
    <row r="557" spans="1:27" hidden="1" x14ac:dyDescent="0.3">
      <c r="A557" t="str">
        <f t="shared" si="24"/>
        <v>2023-Xolos</v>
      </c>
      <c r="B557" t="str">
        <f t="shared" si="25"/>
        <v>2023-Cruz Azul</v>
      </c>
      <c r="C557">
        <v>2023</v>
      </c>
      <c r="D557" t="s">
        <v>19</v>
      </c>
      <c r="E557" s="2">
        <v>2</v>
      </c>
      <c r="F557" s="2">
        <v>1</v>
      </c>
      <c r="G557" t="s">
        <v>10</v>
      </c>
      <c r="H557">
        <v>38.299999999999997</v>
      </c>
      <c r="I557">
        <v>3.83</v>
      </c>
      <c r="J557">
        <v>11.49</v>
      </c>
      <c r="K557">
        <v>11.49</v>
      </c>
      <c r="L557">
        <v>11.49</v>
      </c>
      <c r="M557" s="6">
        <v>0.55000000000000004</v>
      </c>
      <c r="N557" s="6">
        <v>0.15</v>
      </c>
      <c r="O557" s="6">
        <v>0.3</v>
      </c>
      <c r="P557" s="10">
        <v>49</v>
      </c>
      <c r="Q557">
        <v>72.2</v>
      </c>
      <c r="R557">
        <v>7.22</v>
      </c>
      <c r="S557">
        <v>21.66</v>
      </c>
      <c r="T557">
        <v>21.66</v>
      </c>
      <c r="U557">
        <v>21.66</v>
      </c>
      <c r="V557" s="6">
        <v>0.52380952380952384</v>
      </c>
      <c r="W557" s="6">
        <v>0.23809523809523808</v>
      </c>
      <c r="X557" s="6">
        <v>0.23809523809523808</v>
      </c>
      <c r="Y557" s="11">
        <f>VLOOKUP(G557,'[1]historico puntos 2022-2025'!$A$2:$G$19,7,0)</f>
        <v>107</v>
      </c>
      <c r="Z557" t="s">
        <v>38</v>
      </c>
      <c r="AA557">
        <f t="shared" si="26"/>
        <v>555</v>
      </c>
    </row>
    <row r="558" spans="1:27" hidden="1" x14ac:dyDescent="0.3">
      <c r="A558" t="str">
        <f t="shared" si="24"/>
        <v>2023-Necaxa</v>
      </c>
      <c r="B558" t="str">
        <f t="shared" si="25"/>
        <v>2023-Xolos</v>
      </c>
      <c r="C558">
        <v>2023</v>
      </c>
      <c r="D558" t="s">
        <v>4</v>
      </c>
      <c r="E558" s="2">
        <v>1</v>
      </c>
      <c r="F558" s="2">
        <v>1</v>
      </c>
      <c r="G558" t="s">
        <v>19</v>
      </c>
      <c r="H558">
        <v>40</v>
      </c>
      <c r="I558">
        <v>4</v>
      </c>
      <c r="J558">
        <v>12</v>
      </c>
      <c r="K558">
        <v>12</v>
      </c>
      <c r="L558">
        <v>12</v>
      </c>
      <c r="M558" s="6">
        <v>0.44444444444444442</v>
      </c>
      <c r="N558" s="6">
        <v>0.22222222222222221</v>
      </c>
      <c r="O558" s="6">
        <v>0.33333333333333331</v>
      </c>
      <c r="P558" s="10">
        <v>77</v>
      </c>
      <c r="Q558" t="s">
        <v>37</v>
      </c>
      <c r="R558" t="s">
        <v>37</v>
      </c>
      <c r="S558" t="s">
        <v>37</v>
      </c>
      <c r="T558" t="s">
        <v>37</v>
      </c>
      <c r="U558" t="s">
        <v>37</v>
      </c>
      <c r="V558" s="6">
        <v>0.27777777777777779</v>
      </c>
      <c r="W558" s="6">
        <v>0.22222222222222221</v>
      </c>
      <c r="X558" s="6">
        <v>0.5</v>
      </c>
      <c r="Y558" s="11">
        <f>VLOOKUP(G558,'[1]historico puntos 2022-2025'!$A$2:$G$19,7,0)</f>
        <v>49</v>
      </c>
      <c r="Z558" t="s">
        <v>39</v>
      </c>
      <c r="AA558">
        <f t="shared" si="26"/>
        <v>556</v>
      </c>
    </row>
    <row r="559" spans="1:27" hidden="1" x14ac:dyDescent="0.3">
      <c r="A559" t="str">
        <f t="shared" si="24"/>
        <v>2023-Xolos</v>
      </c>
      <c r="B559" t="str">
        <f t="shared" si="25"/>
        <v>2023-Pumas</v>
      </c>
      <c r="C559">
        <v>2023</v>
      </c>
      <c r="D559" t="s">
        <v>19</v>
      </c>
      <c r="E559" s="2">
        <v>2</v>
      </c>
      <c r="F559" s="2">
        <v>3</v>
      </c>
      <c r="G559" t="s">
        <v>16</v>
      </c>
      <c r="H559">
        <v>38.299999999999997</v>
      </c>
      <c r="I559">
        <v>3.83</v>
      </c>
      <c r="J559">
        <v>11.49</v>
      </c>
      <c r="K559">
        <v>11.49</v>
      </c>
      <c r="L559">
        <v>11.49</v>
      </c>
      <c r="M559" s="6">
        <v>0.55000000000000004</v>
      </c>
      <c r="N559" s="6">
        <v>0.15</v>
      </c>
      <c r="O559" s="6">
        <v>0.3</v>
      </c>
      <c r="P559" s="10">
        <v>49</v>
      </c>
      <c r="Q559" t="s">
        <v>37</v>
      </c>
      <c r="R559" t="s">
        <v>37</v>
      </c>
      <c r="S559" t="s">
        <v>37</v>
      </c>
      <c r="T559" t="s">
        <v>37</v>
      </c>
      <c r="U559" t="s">
        <v>37</v>
      </c>
      <c r="V559" s="6">
        <v>0.3</v>
      </c>
      <c r="W559" s="6">
        <v>0.25</v>
      </c>
      <c r="X559" s="6">
        <v>0.45</v>
      </c>
      <c r="Y559" s="11">
        <f>VLOOKUP(G559,'[1]historico puntos 2022-2025'!$A$2:$G$19,7,0)</f>
        <v>75</v>
      </c>
      <c r="Z559" t="s">
        <v>40</v>
      </c>
      <c r="AA559">
        <f t="shared" si="26"/>
        <v>557</v>
      </c>
    </row>
    <row r="560" spans="1:27" hidden="1" x14ac:dyDescent="0.3">
      <c r="A560" t="str">
        <f t="shared" si="24"/>
        <v>2024-Chivas</v>
      </c>
      <c r="B560" t="str">
        <f t="shared" si="25"/>
        <v>2024-Toluca</v>
      </c>
      <c r="C560">
        <v>2024</v>
      </c>
      <c r="D560" t="s">
        <v>21</v>
      </c>
      <c r="E560" s="2">
        <v>1</v>
      </c>
      <c r="F560" s="2">
        <v>0</v>
      </c>
      <c r="G560" t="s">
        <v>2</v>
      </c>
      <c r="H560">
        <v>70.2</v>
      </c>
      <c r="I560">
        <v>7.02</v>
      </c>
      <c r="J560">
        <v>21.06</v>
      </c>
      <c r="K560">
        <v>21.06</v>
      </c>
      <c r="L560">
        <v>21.06</v>
      </c>
      <c r="M560" s="6">
        <v>0.44444444444444442</v>
      </c>
      <c r="N560" s="6">
        <v>0.33333333333333331</v>
      </c>
      <c r="O560" s="6">
        <v>0.22222222222222221</v>
      </c>
      <c r="P560" s="10">
        <v>99</v>
      </c>
      <c r="Q560">
        <v>77.45</v>
      </c>
      <c r="R560">
        <v>7.75</v>
      </c>
      <c r="S560">
        <v>23.24</v>
      </c>
      <c r="T560">
        <v>23.24</v>
      </c>
      <c r="U560">
        <v>23.24</v>
      </c>
      <c r="V560" s="6">
        <v>0.38095238095238093</v>
      </c>
      <c r="W560" s="6">
        <v>0.33333333333333331</v>
      </c>
      <c r="X560" s="6">
        <v>0.2857142857142857</v>
      </c>
      <c r="Y560" s="11">
        <f>VLOOKUP(G560,'[1]historico puntos 2022-2025'!$A$2:$G$19,7,0)</f>
        <v>118</v>
      </c>
      <c r="Z560" t="s">
        <v>38</v>
      </c>
      <c r="AA560">
        <f t="shared" si="26"/>
        <v>558</v>
      </c>
    </row>
    <row r="561" spans="1:27" hidden="1" x14ac:dyDescent="0.3">
      <c r="A561" t="str">
        <f t="shared" si="24"/>
        <v>2024-Toluca</v>
      </c>
      <c r="B561" t="str">
        <f t="shared" si="25"/>
        <v>2024-Cruz Azul</v>
      </c>
      <c r="C561">
        <v>2024</v>
      </c>
      <c r="D561" t="s">
        <v>2</v>
      </c>
      <c r="E561" s="2">
        <v>0</v>
      </c>
      <c r="F561" s="2">
        <v>1</v>
      </c>
      <c r="G561" t="s">
        <v>10</v>
      </c>
      <c r="H561">
        <v>77.45</v>
      </c>
      <c r="I561">
        <v>7.75</v>
      </c>
      <c r="J561">
        <v>23.24</v>
      </c>
      <c r="K561">
        <v>23.24</v>
      </c>
      <c r="L561">
        <v>23.24</v>
      </c>
      <c r="M561" s="6">
        <v>0.76190476190476186</v>
      </c>
      <c r="N561" s="6">
        <v>0.19047619047619047</v>
      </c>
      <c r="O561" s="6">
        <v>4.7619047619047616E-2</v>
      </c>
      <c r="P561" s="10">
        <v>118</v>
      </c>
      <c r="Q561">
        <v>78.849999999999994</v>
      </c>
      <c r="R561">
        <v>7.89</v>
      </c>
      <c r="S561">
        <v>23.66</v>
      </c>
      <c r="T561">
        <v>23.66</v>
      </c>
      <c r="U561">
        <v>23.66</v>
      </c>
      <c r="V561" s="6">
        <v>0.52380952380952384</v>
      </c>
      <c r="W561" s="6">
        <v>0.23809523809523808</v>
      </c>
      <c r="X561" s="6">
        <v>0.23809523809523808</v>
      </c>
      <c r="Y561" s="11">
        <f>VLOOKUP(G561,'[1]historico puntos 2022-2025'!$A$2:$G$19,7,0)</f>
        <v>107</v>
      </c>
      <c r="Z561" t="s">
        <v>40</v>
      </c>
      <c r="AA561">
        <f t="shared" si="26"/>
        <v>559</v>
      </c>
    </row>
    <row r="562" spans="1:27" hidden="1" x14ac:dyDescent="0.3">
      <c r="A562" t="str">
        <f t="shared" si="24"/>
        <v>2024-Atlético San Luis</v>
      </c>
      <c r="B562" t="str">
        <f t="shared" si="25"/>
        <v>2024-Toluca</v>
      </c>
      <c r="C562">
        <v>2024</v>
      </c>
      <c r="D562" t="s">
        <v>15</v>
      </c>
      <c r="E562" s="2">
        <v>1</v>
      </c>
      <c r="F562" s="2">
        <v>5</v>
      </c>
      <c r="G562" t="s">
        <v>2</v>
      </c>
      <c r="H562">
        <v>45.95</v>
      </c>
      <c r="I562">
        <v>4.5999999999999996</v>
      </c>
      <c r="J562">
        <v>13.84</v>
      </c>
      <c r="K562">
        <v>13.84</v>
      </c>
      <c r="L562">
        <v>13.84</v>
      </c>
      <c r="M562" s="6">
        <v>0.68421052631578949</v>
      </c>
      <c r="N562" s="6">
        <v>5.2631578947368418E-2</v>
      </c>
      <c r="O562" s="6">
        <v>0.26315789473684209</v>
      </c>
      <c r="P562" s="10">
        <v>59</v>
      </c>
      <c r="Q562">
        <v>77.45</v>
      </c>
      <c r="R562">
        <v>7.75</v>
      </c>
      <c r="S562">
        <v>23.24</v>
      </c>
      <c r="T562">
        <v>23.24</v>
      </c>
      <c r="U562">
        <v>23.24</v>
      </c>
      <c r="V562" s="6">
        <v>0.38095238095238093</v>
      </c>
      <c r="W562" s="6">
        <v>0.33333333333333331</v>
      </c>
      <c r="X562" s="6">
        <v>0.2857142857142857</v>
      </c>
      <c r="Y562" s="11">
        <f>VLOOKUP(G562,'[1]historico puntos 2022-2025'!$A$2:$G$19,7,0)</f>
        <v>118</v>
      </c>
      <c r="Z562" t="s">
        <v>40</v>
      </c>
      <c r="AA562">
        <f t="shared" si="26"/>
        <v>560</v>
      </c>
    </row>
    <row r="563" spans="1:27" hidden="1" x14ac:dyDescent="0.3">
      <c r="A563" t="str">
        <f t="shared" si="24"/>
        <v>2024-América</v>
      </c>
      <c r="B563" t="str">
        <f t="shared" si="25"/>
        <v>2024-Toluca</v>
      </c>
      <c r="C563">
        <v>2024</v>
      </c>
      <c r="D563" t="s">
        <v>14</v>
      </c>
      <c r="E563" s="2">
        <v>5</v>
      </c>
      <c r="F563" s="2">
        <v>1</v>
      </c>
      <c r="G563" t="s">
        <v>2</v>
      </c>
      <c r="H563">
        <v>92.45</v>
      </c>
      <c r="I563">
        <v>9.25</v>
      </c>
      <c r="J563">
        <v>27.73</v>
      </c>
      <c r="K563">
        <v>27.73</v>
      </c>
      <c r="L563">
        <v>27.73</v>
      </c>
      <c r="M563" s="6">
        <v>0.65217391304347827</v>
      </c>
      <c r="N563" s="6">
        <v>0.21739130434782608</v>
      </c>
      <c r="O563" s="6">
        <v>0.13043478260869565</v>
      </c>
      <c r="P563" s="10">
        <v>133</v>
      </c>
      <c r="Q563">
        <v>77.45</v>
      </c>
      <c r="R563">
        <v>7.75</v>
      </c>
      <c r="S563">
        <v>23.24</v>
      </c>
      <c r="T563">
        <v>23.24</v>
      </c>
      <c r="U563">
        <v>23.24</v>
      </c>
      <c r="V563" s="6">
        <v>0.38095238095238093</v>
      </c>
      <c r="W563" s="6">
        <v>0.33333333333333331</v>
      </c>
      <c r="X563" s="6">
        <v>0.2857142857142857</v>
      </c>
      <c r="Y563" s="11">
        <f>VLOOKUP(G563,'[1]historico puntos 2022-2025'!$A$2:$G$19,7,0)</f>
        <v>118</v>
      </c>
      <c r="Z563" t="s">
        <v>38</v>
      </c>
      <c r="AA563">
        <f t="shared" si="26"/>
        <v>561</v>
      </c>
    </row>
    <row r="564" spans="1:27" hidden="1" x14ac:dyDescent="0.3">
      <c r="A564" t="str">
        <f t="shared" si="24"/>
        <v>2024-Toluca</v>
      </c>
      <c r="B564" t="str">
        <f t="shared" si="25"/>
        <v>2024-Atlas</v>
      </c>
      <c r="C564">
        <v>2024</v>
      </c>
      <c r="D564" t="s">
        <v>2</v>
      </c>
      <c r="E564" s="2">
        <v>4</v>
      </c>
      <c r="F564" s="2">
        <v>1</v>
      </c>
      <c r="G564" t="s">
        <v>5</v>
      </c>
      <c r="H564">
        <v>77.45</v>
      </c>
      <c r="I564">
        <v>7.75</v>
      </c>
      <c r="J564">
        <v>23.24</v>
      </c>
      <c r="K564">
        <v>23.24</v>
      </c>
      <c r="L564">
        <v>23.24</v>
      </c>
      <c r="M564" s="6">
        <v>0.76190476190476186</v>
      </c>
      <c r="N564" s="6">
        <v>0.19047619047619047</v>
      </c>
      <c r="O564" s="6">
        <v>4.7619047619047616E-2</v>
      </c>
      <c r="P564" s="10">
        <v>118</v>
      </c>
      <c r="Q564">
        <v>28.95</v>
      </c>
      <c r="R564">
        <v>2.9</v>
      </c>
      <c r="S564">
        <v>8.68</v>
      </c>
      <c r="T564">
        <v>8.68</v>
      </c>
      <c r="U564">
        <v>8.68</v>
      </c>
      <c r="V564" s="6">
        <v>0.26315789473684209</v>
      </c>
      <c r="W564" s="6">
        <v>0.31578947368421051</v>
      </c>
      <c r="X564" s="6">
        <v>0.42105263157894735</v>
      </c>
      <c r="Y564" s="11">
        <f>VLOOKUP(G564,'[1]historico puntos 2022-2025'!$A$2:$G$19,7,0)</f>
        <v>60</v>
      </c>
      <c r="Z564" t="s">
        <v>38</v>
      </c>
      <c r="AA564">
        <f t="shared" si="26"/>
        <v>562</v>
      </c>
    </row>
    <row r="565" spans="1:27" s="8" customFormat="1" hidden="1" x14ac:dyDescent="0.3">
      <c r="A565" t="str">
        <f t="shared" si="24"/>
        <v>2024-Pachuca</v>
      </c>
      <c r="B565" t="str">
        <f t="shared" si="25"/>
        <v>2024-Toluca</v>
      </c>
      <c r="C565" s="8">
        <v>2024</v>
      </c>
      <c r="D565" s="8" t="s">
        <v>0</v>
      </c>
      <c r="E565" s="9">
        <v>2</v>
      </c>
      <c r="F565" s="9">
        <v>3</v>
      </c>
      <c r="G565" s="8" t="s">
        <v>2</v>
      </c>
      <c r="H565" s="8">
        <v>56.6</v>
      </c>
      <c r="I565" s="8">
        <v>5.66</v>
      </c>
      <c r="J565" s="8">
        <v>16.98</v>
      </c>
      <c r="K565" s="8">
        <v>16.98</v>
      </c>
      <c r="L565" s="8">
        <v>16.98</v>
      </c>
      <c r="M565" s="6">
        <v>0.3888888888888889</v>
      </c>
      <c r="N565" s="6">
        <v>0.33333333333333331</v>
      </c>
      <c r="O565" s="6">
        <v>0.27777777777777779</v>
      </c>
      <c r="P565" s="10">
        <v>98</v>
      </c>
      <c r="Q565" s="8">
        <v>77.45</v>
      </c>
      <c r="R565" s="8">
        <v>7.75</v>
      </c>
      <c r="S565" s="8">
        <v>23.24</v>
      </c>
      <c r="T565" s="8">
        <v>23.24</v>
      </c>
      <c r="U565" s="8">
        <v>23.24</v>
      </c>
      <c r="V565" s="6">
        <v>0.38095238095238093</v>
      </c>
      <c r="W565" s="6">
        <v>0.33333333333333331</v>
      </c>
      <c r="X565" s="6">
        <v>0.2857142857142857</v>
      </c>
      <c r="Y565" s="11">
        <f>VLOOKUP(G565,'[1]historico puntos 2022-2025'!$A$2:$G$19,7,0)</f>
        <v>118</v>
      </c>
      <c r="Z565" s="8" t="s">
        <v>40</v>
      </c>
      <c r="AA565">
        <f t="shared" si="26"/>
        <v>563</v>
      </c>
    </row>
    <row r="566" spans="1:27" hidden="1" x14ac:dyDescent="0.3">
      <c r="A566" t="str">
        <f t="shared" si="24"/>
        <v>2024-Toluca</v>
      </c>
      <c r="B566" t="str">
        <f t="shared" si="25"/>
        <v>2024-Pumas</v>
      </c>
      <c r="C566">
        <v>2024</v>
      </c>
      <c r="D566" t="s">
        <v>2</v>
      </c>
      <c r="E566" s="2">
        <v>3</v>
      </c>
      <c r="F566" s="2">
        <v>0</v>
      </c>
      <c r="G566" t="s">
        <v>16</v>
      </c>
      <c r="H566">
        <v>77.45</v>
      </c>
      <c r="I566">
        <v>7.75</v>
      </c>
      <c r="J566">
        <v>23.24</v>
      </c>
      <c r="K566">
        <v>23.24</v>
      </c>
      <c r="L566">
        <v>23.24</v>
      </c>
      <c r="M566" s="6">
        <v>0.76190476190476186</v>
      </c>
      <c r="N566" s="6">
        <v>0.19047619047619047</v>
      </c>
      <c r="O566" s="6">
        <v>4.7619047619047616E-2</v>
      </c>
      <c r="P566" s="10">
        <v>118</v>
      </c>
      <c r="Q566">
        <v>47.6</v>
      </c>
      <c r="R566">
        <v>4.76</v>
      </c>
      <c r="S566">
        <v>14.28</v>
      </c>
      <c r="T566">
        <v>14.28</v>
      </c>
      <c r="U566">
        <v>14.28</v>
      </c>
      <c r="V566" s="6">
        <v>0.3</v>
      </c>
      <c r="W566" s="6">
        <v>0.25</v>
      </c>
      <c r="X566" s="6">
        <v>0.45</v>
      </c>
      <c r="Y566" s="11">
        <f>VLOOKUP(G566,'[1]historico puntos 2022-2025'!$A$2:$G$19,7,0)</f>
        <v>75</v>
      </c>
      <c r="Z566" t="s">
        <v>38</v>
      </c>
      <c r="AA566">
        <f t="shared" si="26"/>
        <v>564</v>
      </c>
    </row>
    <row r="567" spans="1:27" hidden="1" x14ac:dyDescent="0.3">
      <c r="A567" t="str">
        <f t="shared" si="24"/>
        <v>2024-Juarez</v>
      </c>
      <c r="B567" t="str">
        <f t="shared" si="25"/>
        <v>2024-Toluca</v>
      </c>
      <c r="C567">
        <v>2024</v>
      </c>
      <c r="D567" t="s">
        <v>18</v>
      </c>
      <c r="E567" s="2">
        <v>1</v>
      </c>
      <c r="F567" s="2">
        <v>1</v>
      </c>
      <c r="G567" t="s">
        <v>2</v>
      </c>
      <c r="H567" t="s">
        <v>37</v>
      </c>
      <c r="I567" t="s">
        <v>37</v>
      </c>
      <c r="J567" t="s">
        <v>37</v>
      </c>
      <c r="K567" t="s">
        <v>37</v>
      </c>
      <c r="L567" t="s">
        <v>37</v>
      </c>
      <c r="M567" s="6">
        <v>0.27777777777777779</v>
      </c>
      <c r="N567" s="6">
        <v>0.33333333333333331</v>
      </c>
      <c r="O567" s="6">
        <v>0.3888888888888889</v>
      </c>
      <c r="P567" s="10">
        <v>55</v>
      </c>
      <c r="Q567">
        <v>77.45</v>
      </c>
      <c r="R567">
        <v>7.75</v>
      </c>
      <c r="S567">
        <v>23.24</v>
      </c>
      <c r="T567">
        <v>23.24</v>
      </c>
      <c r="U567">
        <v>23.24</v>
      </c>
      <c r="V567" s="6">
        <v>0.38095238095238093</v>
      </c>
      <c r="W567" s="6">
        <v>0.33333333333333331</v>
      </c>
      <c r="X567" s="6">
        <v>0.2857142857142857</v>
      </c>
      <c r="Y567" s="11">
        <f>VLOOKUP(G567,'[1]historico puntos 2022-2025'!$A$2:$G$19,7,0)</f>
        <v>118</v>
      </c>
      <c r="Z567" t="s">
        <v>39</v>
      </c>
      <c r="AA567">
        <f t="shared" si="26"/>
        <v>565</v>
      </c>
    </row>
    <row r="568" spans="1:27" hidden="1" x14ac:dyDescent="0.3">
      <c r="A568" t="str">
        <f t="shared" si="24"/>
        <v>2024-Toluca</v>
      </c>
      <c r="B568" t="str">
        <f t="shared" si="25"/>
        <v>2024-Tigres</v>
      </c>
      <c r="C568">
        <v>2024</v>
      </c>
      <c r="D568" t="s">
        <v>2</v>
      </c>
      <c r="E568" s="2">
        <v>2</v>
      </c>
      <c r="F568" s="2">
        <v>1</v>
      </c>
      <c r="G568" t="s">
        <v>17</v>
      </c>
      <c r="H568">
        <v>77.45</v>
      </c>
      <c r="I568">
        <v>7.75</v>
      </c>
      <c r="J568">
        <v>23.24</v>
      </c>
      <c r="K568">
        <v>23.24</v>
      </c>
      <c r="L568">
        <v>23.24</v>
      </c>
      <c r="M568" s="6">
        <v>0.76190476190476186</v>
      </c>
      <c r="N568" s="6">
        <v>0.19047619047619047</v>
      </c>
      <c r="O568" s="6">
        <v>4.7619047619047616E-2</v>
      </c>
      <c r="P568" s="10">
        <v>118</v>
      </c>
      <c r="Q568" t="s">
        <v>37</v>
      </c>
      <c r="R568" t="s">
        <v>37</v>
      </c>
      <c r="S568" t="s">
        <v>37</v>
      </c>
      <c r="T568" t="s">
        <v>37</v>
      </c>
      <c r="U568" t="s">
        <v>37</v>
      </c>
      <c r="V568" s="6">
        <v>0.3</v>
      </c>
      <c r="W568" s="6">
        <v>0.3</v>
      </c>
      <c r="X568" s="6">
        <v>0.4</v>
      </c>
      <c r="Y568" s="11">
        <f>VLOOKUP(G568,'[1]historico puntos 2022-2025'!$A$2:$G$19,7,0)</f>
        <v>107</v>
      </c>
      <c r="Z568" t="s">
        <v>38</v>
      </c>
      <c r="AA568">
        <f t="shared" si="26"/>
        <v>566</v>
      </c>
    </row>
    <row r="569" spans="1:27" hidden="1" x14ac:dyDescent="0.3">
      <c r="A569" t="str">
        <f t="shared" si="24"/>
        <v>2024-Toluca</v>
      </c>
      <c r="B569" t="str">
        <f t="shared" si="25"/>
        <v>2024-Xolos</v>
      </c>
      <c r="C569">
        <v>2024</v>
      </c>
      <c r="D569" t="s">
        <v>2</v>
      </c>
      <c r="E569" s="2">
        <v>2</v>
      </c>
      <c r="F569" s="2">
        <v>0</v>
      </c>
      <c r="G569" t="s">
        <v>19</v>
      </c>
      <c r="H569">
        <v>77.45</v>
      </c>
      <c r="I569">
        <v>7.75</v>
      </c>
      <c r="J569">
        <v>23.24</v>
      </c>
      <c r="K569">
        <v>23.24</v>
      </c>
      <c r="L569">
        <v>23.24</v>
      </c>
      <c r="M569" s="6">
        <v>0.76190476190476186</v>
      </c>
      <c r="N569" s="6">
        <v>0.19047619047619047</v>
      </c>
      <c r="O569" s="6">
        <v>4.7619047619047616E-2</v>
      </c>
      <c r="P569" s="10">
        <v>118</v>
      </c>
      <c r="Q569">
        <v>39.15</v>
      </c>
      <c r="R569">
        <v>3.92</v>
      </c>
      <c r="S569">
        <v>11.75</v>
      </c>
      <c r="T569">
        <v>11.75</v>
      </c>
      <c r="U569">
        <v>11.75</v>
      </c>
      <c r="V569" s="6">
        <v>0.27777777777777779</v>
      </c>
      <c r="W569" s="6">
        <v>0.22222222222222221</v>
      </c>
      <c r="X569" s="6">
        <v>0.5</v>
      </c>
      <c r="Y569" s="11">
        <f>VLOOKUP(G569,'[1]historico puntos 2022-2025'!$A$2:$G$19,7,0)</f>
        <v>49</v>
      </c>
      <c r="Z569" t="s">
        <v>38</v>
      </c>
      <c r="AA569">
        <f t="shared" si="26"/>
        <v>567</v>
      </c>
    </row>
    <row r="570" spans="1:27" hidden="1" x14ac:dyDescent="0.3">
      <c r="A570" t="str">
        <f t="shared" si="24"/>
        <v>2024-Toluca</v>
      </c>
      <c r="B570" t="str">
        <f t="shared" si="25"/>
        <v>2024-Santos Laguna</v>
      </c>
      <c r="C570">
        <v>2024</v>
      </c>
      <c r="D570" t="s">
        <v>2</v>
      </c>
      <c r="E570" s="2">
        <v>1</v>
      </c>
      <c r="F570" s="2">
        <v>0</v>
      </c>
      <c r="G570" t="s">
        <v>11</v>
      </c>
      <c r="H570">
        <v>77.45</v>
      </c>
      <c r="I570">
        <v>7.75</v>
      </c>
      <c r="J570">
        <v>23.24</v>
      </c>
      <c r="K570">
        <v>23.24</v>
      </c>
      <c r="L570">
        <v>23.24</v>
      </c>
      <c r="M570" s="6">
        <v>0.76190476190476186</v>
      </c>
      <c r="N570" s="6">
        <v>0.19047619047619047</v>
      </c>
      <c r="O570" s="6">
        <v>4.7619047619047616E-2</v>
      </c>
      <c r="P570" s="10">
        <v>118</v>
      </c>
      <c r="Q570" t="s">
        <v>37</v>
      </c>
      <c r="R570" t="s">
        <v>37</v>
      </c>
      <c r="S570" t="s">
        <v>37</v>
      </c>
      <c r="T570" t="s">
        <v>37</v>
      </c>
      <c r="U570" t="s">
        <v>37</v>
      </c>
      <c r="V570" s="6">
        <v>0</v>
      </c>
      <c r="W570" s="6">
        <v>0.11764705882352941</v>
      </c>
      <c r="X570" s="6">
        <v>0.88235294117647056</v>
      </c>
      <c r="Y570" s="11">
        <f>VLOOKUP(G570,'[1]historico puntos 2022-2025'!$A$2:$G$19,7,0)</f>
        <v>46</v>
      </c>
      <c r="Z570" t="s">
        <v>38</v>
      </c>
      <c r="AA570">
        <f t="shared" si="26"/>
        <v>568</v>
      </c>
    </row>
    <row r="571" spans="1:27" hidden="1" x14ac:dyDescent="0.3">
      <c r="A571" t="str">
        <f t="shared" si="24"/>
        <v>2024-Monterrey</v>
      </c>
      <c r="B571" t="str">
        <f t="shared" si="25"/>
        <v>2024-Toluca</v>
      </c>
      <c r="C571">
        <v>2024</v>
      </c>
      <c r="D571" t="s">
        <v>3</v>
      </c>
      <c r="E571" s="2">
        <v>0</v>
      </c>
      <c r="F571" s="2">
        <v>0</v>
      </c>
      <c r="G571" t="s">
        <v>2</v>
      </c>
      <c r="H571">
        <v>88.6</v>
      </c>
      <c r="I571">
        <v>8.86</v>
      </c>
      <c r="J571">
        <v>26.58</v>
      </c>
      <c r="K571">
        <v>26.58</v>
      </c>
      <c r="L571">
        <v>26.58</v>
      </c>
      <c r="M571" s="6">
        <v>0.60869565217391308</v>
      </c>
      <c r="N571" s="6">
        <v>0.17391304347826086</v>
      </c>
      <c r="O571" s="6">
        <v>0.21739130434782608</v>
      </c>
      <c r="P571" s="10">
        <v>118</v>
      </c>
      <c r="Q571">
        <v>77.45</v>
      </c>
      <c r="R571">
        <v>7.75</v>
      </c>
      <c r="S571">
        <v>23.24</v>
      </c>
      <c r="T571">
        <v>23.24</v>
      </c>
      <c r="U571">
        <v>23.24</v>
      </c>
      <c r="V571" s="6">
        <v>0.38095238095238093</v>
      </c>
      <c r="W571" s="6">
        <v>0.33333333333333331</v>
      </c>
      <c r="X571" s="6">
        <v>0.2857142857142857</v>
      </c>
      <c r="Y571" s="11">
        <f>VLOOKUP(G571,'[1]historico puntos 2022-2025'!$A$2:$G$19,7,0)</f>
        <v>118</v>
      </c>
      <c r="Z571" t="s">
        <v>39</v>
      </c>
      <c r="AA571">
        <f t="shared" si="26"/>
        <v>569</v>
      </c>
    </row>
    <row r="572" spans="1:27" hidden="1" x14ac:dyDescent="0.3">
      <c r="A572" t="str">
        <f t="shared" si="24"/>
        <v>2024-Necaxa</v>
      </c>
      <c r="B572" t="str">
        <f t="shared" si="25"/>
        <v>2024-Toluca</v>
      </c>
      <c r="C572">
        <v>2024</v>
      </c>
      <c r="D572" t="s">
        <v>4</v>
      </c>
      <c r="E572" s="2">
        <v>3</v>
      </c>
      <c r="F572" s="2">
        <v>3</v>
      </c>
      <c r="G572" t="s">
        <v>2</v>
      </c>
      <c r="H572">
        <v>38.5</v>
      </c>
      <c r="I572">
        <v>3.85</v>
      </c>
      <c r="J572">
        <v>11.55</v>
      </c>
      <c r="K572">
        <v>11.55</v>
      </c>
      <c r="L572">
        <v>11.55</v>
      </c>
      <c r="M572" s="6">
        <v>0.44444444444444442</v>
      </c>
      <c r="N572" s="6">
        <v>0.22222222222222221</v>
      </c>
      <c r="O572" s="6">
        <v>0.33333333333333331</v>
      </c>
      <c r="P572" s="10">
        <v>77</v>
      </c>
      <c r="Q572">
        <v>77.45</v>
      </c>
      <c r="R572">
        <v>7.75</v>
      </c>
      <c r="S572">
        <v>23.24</v>
      </c>
      <c r="T572">
        <v>23.24</v>
      </c>
      <c r="U572">
        <v>23.24</v>
      </c>
      <c r="V572" s="6">
        <v>0.38095238095238093</v>
      </c>
      <c r="W572" s="6">
        <v>0.33333333333333331</v>
      </c>
      <c r="X572" s="6">
        <v>0.2857142857142857</v>
      </c>
      <c r="Y572" s="11">
        <f>VLOOKUP(G572,'[1]historico puntos 2022-2025'!$A$2:$G$19,7,0)</f>
        <v>118</v>
      </c>
      <c r="Z572" t="s">
        <v>39</v>
      </c>
      <c r="AA572">
        <f t="shared" si="26"/>
        <v>570</v>
      </c>
    </row>
    <row r="573" spans="1:27" hidden="1" x14ac:dyDescent="0.3">
      <c r="A573" t="str">
        <f t="shared" si="24"/>
        <v>2024-Toluca</v>
      </c>
      <c r="B573" t="str">
        <f t="shared" si="25"/>
        <v>2024-León</v>
      </c>
      <c r="C573">
        <v>2024</v>
      </c>
      <c r="D573" t="s">
        <v>2</v>
      </c>
      <c r="E573" s="2">
        <v>4</v>
      </c>
      <c r="F573" s="2">
        <v>1</v>
      </c>
      <c r="G573" t="s">
        <v>36</v>
      </c>
      <c r="H573">
        <v>77.45</v>
      </c>
      <c r="I573">
        <v>7.75</v>
      </c>
      <c r="J573">
        <v>23.24</v>
      </c>
      <c r="K573">
        <v>23.24</v>
      </c>
      <c r="L573">
        <v>23.24</v>
      </c>
      <c r="M573" s="6">
        <v>0.76190476190476186</v>
      </c>
      <c r="N573" s="6">
        <v>0.19047619047619047</v>
      </c>
      <c r="O573" s="6">
        <v>4.7619047619047616E-2</v>
      </c>
      <c r="P573" s="10">
        <v>118</v>
      </c>
      <c r="Q573">
        <v>29.55</v>
      </c>
      <c r="R573">
        <v>2.96</v>
      </c>
      <c r="S573">
        <v>8.8699999999999992</v>
      </c>
      <c r="T573">
        <v>8.8699999999999992</v>
      </c>
      <c r="U573">
        <v>8.8699999999999992</v>
      </c>
      <c r="V573" s="6">
        <v>0.27777777777777779</v>
      </c>
      <c r="W573" s="6">
        <v>0.27777777777777779</v>
      </c>
      <c r="X573" s="6">
        <v>0.44444444444444442</v>
      </c>
      <c r="Y573" s="11">
        <f>VLOOKUP(G573,'[1]historico puntos 2022-2025'!$A$2:$G$19,7,0)</f>
        <v>87</v>
      </c>
      <c r="Z573" t="s">
        <v>38</v>
      </c>
      <c r="AA573">
        <f t="shared" si="26"/>
        <v>571</v>
      </c>
    </row>
    <row r="574" spans="1:27" hidden="1" x14ac:dyDescent="0.3">
      <c r="A574" t="str">
        <f t="shared" si="24"/>
        <v>2024-Chivas</v>
      </c>
      <c r="B574" t="str">
        <f t="shared" si="25"/>
        <v>2024-Toluca</v>
      </c>
      <c r="C574">
        <v>2024</v>
      </c>
      <c r="D574" t="s">
        <v>21</v>
      </c>
      <c r="E574" s="2">
        <v>3</v>
      </c>
      <c r="F574" s="2">
        <v>2</v>
      </c>
      <c r="G574" t="s">
        <v>2</v>
      </c>
      <c r="H574">
        <v>70.2</v>
      </c>
      <c r="I574">
        <v>7.02</v>
      </c>
      <c r="J574">
        <v>21.06</v>
      </c>
      <c r="K574">
        <v>21.06</v>
      </c>
      <c r="L574">
        <v>21.06</v>
      </c>
      <c r="M574" s="6">
        <v>0.44444444444444442</v>
      </c>
      <c r="N574" s="6">
        <v>0.33333333333333331</v>
      </c>
      <c r="O574" s="6">
        <v>0.22222222222222221</v>
      </c>
      <c r="P574" s="10">
        <v>99</v>
      </c>
      <c r="Q574">
        <v>77.45</v>
      </c>
      <c r="R574">
        <v>7.75</v>
      </c>
      <c r="S574">
        <v>23.24</v>
      </c>
      <c r="T574">
        <v>23.24</v>
      </c>
      <c r="U574">
        <v>23.24</v>
      </c>
      <c r="V574" s="6">
        <v>0.38095238095238093</v>
      </c>
      <c r="W574" s="6">
        <v>0.33333333333333331</v>
      </c>
      <c r="X574" s="6">
        <v>0.2857142857142857</v>
      </c>
      <c r="Y574" s="11">
        <f>VLOOKUP(G574,'[1]historico puntos 2022-2025'!$A$2:$G$19,7,0)</f>
        <v>118</v>
      </c>
      <c r="Z574" t="s">
        <v>38</v>
      </c>
      <c r="AA574">
        <f t="shared" si="26"/>
        <v>572</v>
      </c>
    </row>
    <row r="575" spans="1:27" hidden="1" x14ac:dyDescent="0.3">
      <c r="A575" t="str">
        <f t="shared" si="24"/>
        <v>2024-Puebla</v>
      </c>
      <c r="B575" t="str">
        <f t="shared" si="25"/>
        <v>2024-Toluca</v>
      </c>
      <c r="C575">
        <v>2024</v>
      </c>
      <c r="D575" t="s">
        <v>1</v>
      </c>
      <c r="E575" s="2">
        <v>1</v>
      </c>
      <c r="F575" s="2">
        <v>1</v>
      </c>
      <c r="G575" t="s">
        <v>2</v>
      </c>
      <c r="H575">
        <v>24.1</v>
      </c>
      <c r="I575">
        <v>2.41</v>
      </c>
      <c r="J575">
        <v>7.23</v>
      </c>
      <c r="K575">
        <v>7.23</v>
      </c>
      <c r="L575">
        <v>7.23</v>
      </c>
      <c r="M575" s="6">
        <v>0.23529411764705882</v>
      </c>
      <c r="N575" s="6">
        <v>0.11764705882352941</v>
      </c>
      <c r="O575" s="6">
        <v>0.6470588235294118</v>
      </c>
      <c r="P575" s="10">
        <v>34</v>
      </c>
      <c r="Q575">
        <v>77.45</v>
      </c>
      <c r="R575">
        <v>7.75</v>
      </c>
      <c r="S575">
        <v>23.24</v>
      </c>
      <c r="T575">
        <v>23.24</v>
      </c>
      <c r="U575">
        <v>23.24</v>
      </c>
      <c r="V575" s="6">
        <v>0.38095238095238093</v>
      </c>
      <c r="W575" s="6">
        <v>0.33333333333333331</v>
      </c>
      <c r="X575" s="6">
        <v>0.2857142857142857</v>
      </c>
      <c r="Y575" s="11">
        <f>VLOOKUP(G575,'[1]historico puntos 2022-2025'!$A$2:$G$19,7,0)</f>
        <v>118</v>
      </c>
      <c r="Z575" t="s">
        <v>39</v>
      </c>
      <c r="AA575">
        <f t="shared" si="26"/>
        <v>573</v>
      </c>
    </row>
    <row r="576" spans="1:27" hidden="1" x14ac:dyDescent="0.3">
      <c r="A576" t="str">
        <f t="shared" si="24"/>
        <v>2024-Toluca</v>
      </c>
      <c r="B576" t="str">
        <f t="shared" si="25"/>
        <v>2024-Mazatlán</v>
      </c>
      <c r="C576">
        <v>2024</v>
      </c>
      <c r="D576" t="s">
        <v>2</v>
      </c>
      <c r="E576" s="2">
        <v>4</v>
      </c>
      <c r="F576" s="2">
        <v>1</v>
      </c>
      <c r="G576" t="s">
        <v>20</v>
      </c>
      <c r="H576">
        <v>77.45</v>
      </c>
      <c r="I576">
        <v>7.75</v>
      </c>
      <c r="J576">
        <v>23.24</v>
      </c>
      <c r="K576">
        <v>23.24</v>
      </c>
      <c r="L576">
        <v>23.24</v>
      </c>
      <c r="M576" s="6">
        <v>0.76190476190476186</v>
      </c>
      <c r="N576" s="6">
        <v>0.19047619047619047</v>
      </c>
      <c r="O576" s="6">
        <v>4.7619047619047616E-2</v>
      </c>
      <c r="P576" s="10">
        <v>118</v>
      </c>
      <c r="Q576">
        <v>31.45</v>
      </c>
      <c r="R576">
        <v>3.15</v>
      </c>
      <c r="S576">
        <v>9.44</v>
      </c>
      <c r="T576">
        <v>9.44</v>
      </c>
      <c r="U576">
        <v>9.44</v>
      </c>
      <c r="V576" s="6">
        <v>5.8823529411764705E-2</v>
      </c>
      <c r="W576" s="6">
        <v>0.29411764705882354</v>
      </c>
      <c r="X576" s="6">
        <v>0.6470588235294118</v>
      </c>
      <c r="Y576" s="11">
        <f>VLOOKUP(G576,'[1]historico puntos 2022-2025'!$A$2:$G$19,7,0)</f>
        <v>40</v>
      </c>
      <c r="Z576" t="s">
        <v>38</v>
      </c>
      <c r="AA576">
        <f t="shared" si="26"/>
        <v>574</v>
      </c>
    </row>
    <row r="577" spans="1:27" hidden="1" x14ac:dyDescent="0.3">
      <c r="A577" t="str">
        <f t="shared" si="24"/>
        <v>2024-Querétaro</v>
      </c>
      <c r="B577" t="str">
        <f t="shared" si="25"/>
        <v>2024-Toluca</v>
      </c>
      <c r="C577">
        <v>2024</v>
      </c>
      <c r="D577" t="s">
        <v>22</v>
      </c>
      <c r="E577" s="2">
        <v>2</v>
      </c>
      <c r="F577" s="2">
        <v>2</v>
      </c>
      <c r="G577" t="s">
        <v>2</v>
      </c>
      <c r="H577">
        <v>17.8</v>
      </c>
      <c r="I577">
        <v>1.78</v>
      </c>
      <c r="J577">
        <v>5.34</v>
      </c>
      <c r="K577">
        <v>5.34</v>
      </c>
      <c r="L577">
        <v>5.34</v>
      </c>
      <c r="M577" s="6">
        <v>0.35294117647058826</v>
      </c>
      <c r="N577" s="6">
        <v>0.11764705882352941</v>
      </c>
      <c r="O577" s="6">
        <v>0.52941176470588236</v>
      </c>
      <c r="P577" s="10">
        <v>64</v>
      </c>
      <c r="Q577">
        <v>77.45</v>
      </c>
      <c r="R577">
        <v>7.75</v>
      </c>
      <c r="S577">
        <v>23.24</v>
      </c>
      <c r="T577">
        <v>23.24</v>
      </c>
      <c r="U577">
        <v>23.24</v>
      </c>
      <c r="V577" s="6">
        <v>0.38095238095238093</v>
      </c>
      <c r="W577" s="6">
        <v>0.33333333333333331</v>
      </c>
      <c r="X577" s="6">
        <v>0.2857142857142857</v>
      </c>
      <c r="Y577" s="11">
        <f>VLOOKUP(G577,'[1]historico puntos 2022-2025'!$A$2:$G$19,7,0)</f>
        <v>118</v>
      </c>
      <c r="Z577" t="s">
        <v>39</v>
      </c>
      <c r="AA577">
        <f t="shared" si="26"/>
        <v>575</v>
      </c>
    </row>
    <row r="578" spans="1:27" hidden="1" x14ac:dyDescent="0.3">
      <c r="A578" t="str">
        <f t="shared" si="24"/>
        <v>2023-Mazatlán</v>
      </c>
      <c r="B578" t="str">
        <f t="shared" si="25"/>
        <v>2023-Toluca</v>
      </c>
      <c r="C578">
        <v>2023</v>
      </c>
      <c r="D578" t="s">
        <v>20</v>
      </c>
      <c r="E578" s="2">
        <v>1</v>
      </c>
      <c r="F578" s="2">
        <v>0</v>
      </c>
      <c r="G578" t="s">
        <v>2</v>
      </c>
      <c r="H578">
        <v>35.049999999999997</v>
      </c>
      <c r="I578">
        <v>3.5</v>
      </c>
      <c r="J578">
        <v>10.51</v>
      </c>
      <c r="K578">
        <v>10.51</v>
      </c>
      <c r="L578">
        <v>10.51</v>
      </c>
      <c r="M578" s="6">
        <v>0.29411764705882354</v>
      </c>
      <c r="N578" s="6">
        <v>0.47058823529411764</v>
      </c>
      <c r="O578" s="6">
        <v>0.23529411764705882</v>
      </c>
      <c r="P578" s="10">
        <v>40</v>
      </c>
      <c r="Q578">
        <v>66.2</v>
      </c>
      <c r="R578">
        <v>6.62</v>
      </c>
      <c r="S578">
        <v>19.86</v>
      </c>
      <c r="T578">
        <v>19.86</v>
      </c>
      <c r="U578">
        <v>19.86</v>
      </c>
      <c r="V578" s="6">
        <v>0.38095238095238093</v>
      </c>
      <c r="W578" s="6">
        <v>0.33333333333333331</v>
      </c>
      <c r="X578" s="6">
        <v>0.2857142857142857</v>
      </c>
      <c r="Y578" s="11">
        <f>VLOOKUP(G578,'[1]historico puntos 2022-2025'!$A$2:$G$19,7,0)</f>
        <v>118</v>
      </c>
      <c r="Z578" t="s">
        <v>38</v>
      </c>
      <c r="AA578">
        <f t="shared" si="26"/>
        <v>576</v>
      </c>
    </row>
    <row r="579" spans="1:27" hidden="1" x14ac:dyDescent="0.3">
      <c r="A579" t="str">
        <f t="shared" ref="A579:A591" si="27">C579&amp;"-"&amp;D579</f>
        <v>2023-Santos Laguna</v>
      </c>
      <c r="B579" t="str">
        <f t="shared" ref="B579:B591" si="28">C579&amp;"-"&amp;G579</f>
        <v>2023-Toluca</v>
      </c>
      <c r="C579">
        <v>2023</v>
      </c>
      <c r="D579" t="s">
        <v>11</v>
      </c>
      <c r="E579" s="2">
        <v>3</v>
      </c>
      <c r="F579" s="2">
        <v>1</v>
      </c>
      <c r="G579" t="s">
        <v>2</v>
      </c>
      <c r="H579">
        <v>46</v>
      </c>
      <c r="I579">
        <v>4.5999999999999996</v>
      </c>
      <c r="J579">
        <v>13.8</v>
      </c>
      <c r="K579">
        <v>13.8</v>
      </c>
      <c r="L579">
        <v>13.8</v>
      </c>
      <c r="M579" s="6">
        <v>0.23529411764705882</v>
      </c>
      <c r="N579" s="6">
        <v>0.17647058823529413</v>
      </c>
      <c r="O579" s="6">
        <v>0.58823529411764708</v>
      </c>
      <c r="P579" s="10">
        <v>46</v>
      </c>
      <c r="Q579">
        <v>66.2</v>
      </c>
      <c r="R579">
        <v>6.62</v>
      </c>
      <c r="S579">
        <v>19.86</v>
      </c>
      <c r="T579">
        <v>19.86</v>
      </c>
      <c r="U579">
        <v>19.86</v>
      </c>
      <c r="V579" s="6">
        <v>0.38095238095238093</v>
      </c>
      <c r="W579" s="6">
        <v>0.33333333333333331</v>
      </c>
      <c r="X579" s="6">
        <v>0.2857142857142857</v>
      </c>
      <c r="Y579" s="11">
        <f>VLOOKUP(G579,'[1]historico puntos 2022-2025'!$A$2:$G$19,7,0)</f>
        <v>118</v>
      </c>
      <c r="Z579" t="s">
        <v>38</v>
      </c>
      <c r="AA579">
        <f t="shared" si="26"/>
        <v>577</v>
      </c>
    </row>
    <row r="580" spans="1:27" hidden="1" x14ac:dyDescent="0.3">
      <c r="A580" t="str">
        <f t="shared" si="27"/>
        <v>2023-Toluca</v>
      </c>
      <c r="B580" t="str">
        <f t="shared" si="28"/>
        <v>2023-Puebla</v>
      </c>
      <c r="C580">
        <v>2023</v>
      </c>
      <c r="D580" t="s">
        <v>2</v>
      </c>
      <c r="E580" s="2">
        <v>0</v>
      </c>
      <c r="F580" s="2">
        <v>1</v>
      </c>
      <c r="G580" t="s">
        <v>1</v>
      </c>
      <c r="H580">
        <v>66.2</v>
      </c>
      <c r="I580">
        <v>6.62</v>
      </c>
      <c r="J580">
        <v>19.86</v>
      </c>
      <c r="K580">
        <v>19.86</v>
      </c>
      <c r="L580">
        <v>19.86</v>
      </c>
      <c r="M580" s="6">
        <v>0.76190476190476186</v>
      </c>
      <c r="N580" s="6">
        <v>0.19047619047619047</v>
      </c>
      <c r="O580" s="6">
        <v>4.7619047619047616E-2</v>
      </c>
      <c r="P580" s="10">
        <v>118</v>
      </c>
      <c r="Q580">
        <v>26.7</v>
      </c>
      <c r="R580">
        <v>2.67</v>
      </c>
      <c r="S580">
        <v>8.01</v>
      </c>
      <c r="T580">
        <v>8.01</v>
      </c>
      <c r="U580">
        <v>8.01</v>
      </c>
      <c r="V580" s="6">
        <v>0.11764705882352941</v>
      </c>
      <c r="W580" s="6">
        <v>0.17647058823529413</v>
      </c>
      <c r="X580" s="6">
        <v>0.70588235294117652</v>
      </c>
      <c r="Y580" s="11">
        <f>VLOOKUP(G580,'[1]historico puntos 2022-2025'!$A$2:$G$19,7,0)</f>
        <v>34</v>
      </c>
      <c r="Z580" t="s">
        <v>40</v>
      </c>
      <c r="AA580">
        <f t="shared" ref="AA580:AA591" si="29">AA579+1</f>
        <v>578</v>
      </c>
    </row>
    <row r="581" spans="1:27" hidden="1" x14ac:dyDescent="0.3">
      <c r="A581" t="str">
        <f t="shared" si="27"/>
        <v>2023-Toluca</v>
      </c>
      <c r="B581" t="str">
        <f t="shared" si="28"/>
        <v>2023-Atlético San Luis</v>
      </c>
      <c r="C581">
        <v>2023</v>
      </c>
      <c r="D581" t="s">
        <v>2</v>
      </c>
      <c r="E581" s="2">
        <v>3</v>
      </c>
      <c r="F581" s="2">
        <v>1</v>
      </c>
      <c r="G581" t="s">
        <v>15</v>
      </c>
      <c r="H581">
        <v>66.2</v>
      </c>
      <c r="I581">
        <v>6.62</v>
      </c>
      <c r="J581">
        <v>19.86</v>
      </c>
      <c r="K581">
        <v>19.86</v>
      </c>
      <c r="L581">
        <v>19.86</v>
      </c>
      <c r="M581" s="6">
        <v>0.76190476190476186</v>
      </c>
      <c r="N581" s="6">
        <v>0.19047619047619047</v>
      </c>
      <c r="O581" s="6">
        <v>4.7619047619047616E-2</v>
      </c>
      <c r="P581" s="10">
        <v>118</v>
      </c>
      <c r="Q581">
        <v>35.85</v>
      </c>
      <c r="R581">
        <v>3.59</v>
      </c>
      <c r="S581">
        <v>10.77</v>
      </c>
      <c r="T581">
        <v>10.77</v>
      </c>
      <c r="U581">
        <v>10.77</v>
      </c>
      <c r="V581" s="6">
        <v>0.21052631578947367</v>
      </c>
      <c r="W581" s="6">
        <v>0.15789473684210525</v>
      </c>
      <c r="X581" s="6">
        <v>0.63157894736842102</v>
      </c>
      <c r="Y581" s="11">
        <f>VLOOKUP(G581,'[1]historico puntos 2022-2025'!$A$2:$G$19,7,0)</f>
        <v>59</v>
      </c>
      <c r="Z581" t="s">
        <v>38</v>
      </c>
      <c r="AA581">
        <f t="shared" si="29"/>
        <v>579</v>
      </c>
    </row>
    <row r="582" spans="1:27" hidden="1" x14ac:dyDescent="0.3">
      <c r="A582" t="str">
        <f t="shared" si="27"/>
        <v>2023-León</v>
      </c>
      <c r="B582" t="str">
        <f t="shared" si="28"/>
        <v>2023-Toluca</v>
      </c>
      <c r="C582">
        <v>2023</v>
      </c>
      <c r="D582" t="s">
        <v>36</v>
      </c>
      <c r="E582" s="2">
        <v>1</v>
      </c>
      <c r="F582" s="2">
        <v>0</v>
      </c>
      <c r="G582" t="s">
        <v>2</v>
      </c>
      <c r="H582">
        <v>41.5</v>
      </c>
      <c r="I582">
        <v>4.1500000000000004</v>
      </c>
      <c r="J582">
        <v>12.45</v>
      </c>
      <c r="K582">
        <v>12.45</v>
      </c>
      <c r="L582">
        <v>12.45</v>
      </c>
      <c r="M582" s="6">
        <v>0.3888888888888889</v>
      </c>
      <c r="N582" s="6">
        <v>0.3888888888888889</v>
      </c>
      <c r="O582" s="6">
        <v>0.22222222222222221</v>
      </c>
      <c r="P582" s="10">
        <v>87</v>
      </c>
      <c r="Q582">
        <v>66.2</v>
      </c>
      <c r="R582">
        <v>6.62</v>
      </c>
      <c r="S582">
        <v>19.86</v>
      </c>
      <c r="T582">
        <v>19.86</v>
      </c>
      <c r="U582">
        <v>19.86</v>
      </c>
      <c r="V582" s="6">
        <v>0.38095238095238093</v>
      </c>
      <c r="W582" s="6">
        <v>0.33333333333333331</v>
      </c>
      <c r="X582" s="6">
        <v>0.2857142857142857</v>
      </c>
      <c r="Y582" s="11">
        <f>VLOOKUP(G582,'[1]historico puntos 2022-2025'!$A$2:$G$19,7,0)</f>
        <v>118</v>
      </c>
      <c r="Z582" t="s">
        <v>38</v>
      </c>
      <c r="AA582">
        <f t="shared" si="29"/>
        <v>580</v>
      </c>
    </row>
    <row r="583" spans="1:27" hidden="1" x14ac:dyDescent="0.3">
      <c r="A583" t="str">
        <f t="shared" si="27"/>
        <v>2023-Toluca</v>
      </c>
      <c r="B583" t="str">
        <f t="shared" si="28"/>
        <v>2023-Querétaro</v>
      </c>
      <c r="C583">
        <v>2023</v>
      </c>
      <c r="D583" t="s">
        <v>2</v>
      </c>
      <c r="E583" s="2">
        <v>3</v>
      </c>
      <c r="F583" s="2">
        <v>1</v>
      </c>
      <c r="G583" t="s">
        <v>22</v>
      </c>
      <c r="H583">
        <v>66.2</v>
      </c>
      <c r="I583">
        <v>6.62</v>
      </c>
      <c r="J583">
        <v>19.86</v>
      </c>
      <c r="K583">
        <v>19.86</v>
      </c>
      <c r="L583">
        <v>19.86</v>
      </c>
      <c r="M583" s="6">
        <v>0.76190476190476186</v>
      </c>
      <c r="N583" s="6">
        <v>0.19047619047619047</v>
      </c>
      <c r="O583" s="6">
        <v>4.7619047619047616E-2</v>
      </c>
      <c r="P583" s="10">
        <v>118</v>
      </c>
      <c r="Q583" t="s">
        <v>37</v>
      </c>
      <c r="R583" t="s">
        <v>37</v>
      </c>
      <c r="S583" t="s">
        <v>37</v>
      </c>
      <c r="T583" t="s">
        <v>37</v>
      </c>
      <c r="U583" t="s">
        <v>37</v>
      </c>
      <c r="V583" s="6">
        <v>0.17647058823529413</v>
      </c>
      <c r="W583" s="6">
        <v>0.17647058823529413</v>
      </c>
      <c r="X583" s="6">
        <v>0.6470588235294118</v>
      </c>
      <c r="Y583" s="11">
        <f>VLOOKUP(G583,'[1]historico puntos 2022-2025'!$A$2:$G$19,7,0)</f>
        <v>64</v>
      </c>
      <c r="Z583" t="s">
        <v>38</v>
      </c>
      <c r="AA583">
        <f t="shared" si="29"/>
        <v>581</v>
      </c>
    </row>
    <row r="584" spans="1:27" x14ac:dyDescent="0.3">
      <c r="A584" t="str">
        <f t="shared" si="27"/>
        <v>2023-Tigres</v>
      </c>
      <c r="B584" t="str">
        <f t="shared" si="28"/>
        <v>2023-Toluca</v>
      </c>
      <c r="C584">
        <v>2023</v>
      </c>
      <c r="D584" t="s">
        <v>17</v>
      </c>
      <c r="E584" s="2">
        <v>2</v>
      </c>
      <c r="F584" s="2">
        <v>2</v>
      </c>
      <c r="G584" t="s">
        <v>2</v>
      </c>
      <c r="H584">
        <v>67.599999999999994</v>
      </c>
      <c r="I584">
        <v>6.76</v>
      </c>
      <c r="J584">
        <v>20.28</v>
      </c>
      <c r="K584">
        <v>20.28</v>
      </c>
      <c r="L584">
        <v>20.28</v>
      </c>
      <c r="M584" s="6">
        <v>0.7</v>
      </c>
      <c r="N584" s="6">
        <v>0.25</v>
      </c>
      <c r="O584" s="6">
        <v>0.05</v>
      </c>
      <c r="P584" s="10">
        <v>107</v>
      </c>
      <c r="Q584">
        <v>66.2</v>
      </c>
      <c r="R584">
        <v>6.62</v>
      </c>
      <c r="S584">
        <v>19.86</v>
      </c>
      <c r="T584">
        <v>19.86</v>
      </c>
      <c r="U584">
        <v>19.86</v>
      </c>
      <c r="V584" s="6">
        <v>0.38095238095238093</v>
      </c>
      <c r="W584" s="6">
        <v>0.33333333333333331</v>
      </c>
      <c r="X584" s="6">
        <v>0.2857142857142857</v>
      </c>
      <c r="Y584" s="11">
        <f>VLOOKUP(G584,'[1]historico puntos 2022-2025'!$A$2:$G$19,7,0)</f>
        <v>118</v>
      </c>
      <c r="Z584" t="s">
        <v>39</v>
      </c>
      <c r="AA584">
        <f t="shared" si="29"/>
        <v>582</v>
      </c>
    </row>
    <row r="585" spans="1:27" hidden="1" x14ac:dyDescent="0.3">
      <c r="A585" t="str">
        <f t="shared" si="27"/>
        <v>2023-Toluca</v>
      </c>
      <c r="B585" t="str">
        <f t="shared" si="28"/>
        <v>2023-Chivas</v>
      </c>
      <c r="C585">
        <v>2023</v>
      </c>
      <c r="D585" t="s">
        <v>2</v>
      </c>
      <c r="E585" s="2">
        <v>1</v>
      </c>
      <c r="F585" s="2">
        <v>1</v>
      </c>
      <c r="G585" t="s">
        <v>21</v>
      </c>
      <c r="H585">
        <v>66.2</v>
      </c>
      <c r="I585">
        <v>6.62</v>
      </c>
      <c r="J585">
        <v>19.86</v>
      </c>
      <c r="K585">
        <v>19.86</v>
      </c>
      <c r="L585">
        <v>19.86</v>
      </c>
      <c r="M585" s="6">
        <v>0.76190476190476186</v>
      </c>
      <c r="N585" s="6">
        <v>0.19047619047619047</v>
      </c>
      <c r="O585" s="6">
        <v>4.7619047619047616E-2</v>
      </c>
      <c r="P585" s="10">
        <v>118</v>
      </c>
      <c r="Q585" t="s">
        <v>37</v>
      </c>
      <c r="R585" t="s">
        <v>37</v>
      </c>
      <c r="S585" t="s">
        <v>37</v>
      </c>
      <c r="T585" t="s">
        <v>37</v>
      </c>
      <c r="U585" t="s">
        <v>37</v>
      </c>
      <c r="V585" s="6">
        <v>0.23529411764705882</v>
      </c>
      <c r="W585" s="6">
        <v>0.23529411764705882</v>
      </c>
      <c r="X585" s="6">
        <v>0.52941176470588236</v>
      </c>
      <c r="Y585" s="11">
        <f>VLOOKUP(G585,'[1]historico puntos 2022-2025'!$A$2:$G$19,7,0)</f>
        <v>99</v>
      </c>
      <c r="Z585" t="s">
        <v>39</v>
      </c>
      <c r="AA585">
        <f t="shared" si="29"/>
        <v>583</v>
      </c>
    </row>
    <row r="586" spans="1:27" hidden="1" x14ac:dyDescent="0.3">
      <c r="A586" t="str">
        <f t="shared" si="27"/>
        <v>2023-Xolos</v>
      </c>
      <c r="B586" t="str">
        <f t="shared" si="28"/>
        <v>2023-Toluca</v>
      </c>
      <c r="C586">
        <v>2023</v>
      </c>
      <c r="D586" t="s">
        <v>19</v>
      </c>
      <c r="E586" s="2">
        <v>2</v>
      </c>
      <c r="F586" s="2">
        <v>1</v>
      </c>
      <c r="G586" t="s">
        <v>2</v>
      </c>
      <c r="H586">
        <v>38.299999999999997</v>
      </c>
      <c r="I586">
        <v>3.83</v>
      </c>
      <c r="J586">
        <v>11.49</v>
      </c>
      <c r="K586">
        <v>11.49</v>
      </c>
      <c r="L586">
        <v>11.49</v>
      </c>
      <c r="M586" s="6">
        <v>0.55000000000000004</v>
      </c>
      <c r="N586" s="6">
        <v>0.15</v>
      </c>
      <c r="O586" s="6">
        <v>0.3</v>
      </c>
      <c r="P586" s="10">
        <v>49</v>
      </c>
      <c r="Q586">
        <v>66.2</v>
      </c>
      <c r="R586">
        <v>6.62</v>
      </c>
      <c r="S586">
        <v>19.86</v>
      </c>
      <c r="T586">
        <v>19.86</v>
      </c>
      <c r="U586">
        <v>19.86</v>
      </c>
      <c r="V586" s="6">
        <v>0.38095238095238093</v>
      </c>
      <c r="W586" s="6">
        <v>0.33333333333333331</v>
      </c>
      <c r="X586" s="6">
        <v>0.2857142857142857</v>
      </c>
      <c r="Y586" s="11">
        <f>VLOOKUP(G586,'[1]historico puntos 2022-2025'!$A$2:$G$19,7,0)</f>
        <v>118</v>
      </c>
      <c r="Z586" t="s">
        <v>38</v>
      </c>
      <c r="AA586">
        <f t="shared" si="29"/>
        <v>584</v>
      </c>
    </row>
    <row r="587" spans="1:27" hidden="1" x14ac:dyDescent="0.3">
      <c r="A587" t="str">
        <f t="shared" si="27"/>
        <v>2023-Toluca</v>
      </c>
      <c r="B587" t="str">
        <f t="shared" si="28"/>
        <v>2023-Pachuca</v>
      </c>
      <c r="C587">
        <v>2023</v>
      </c>
      <c r="D587" t="s">
        <v>2</v>
      </c>
      <c r="E587" s="2">
        <v>5</v>
      </c>
      <c r="F587" s="2">
        <v>0</v>
      </c>
      <c r="G587" t="s">
        <v>0</v>
      </c>
      <c r="H587">
        <v>66.2</v>
      </c>
      <c r="I587">
        <v>6.62</v>
      </c>
      <c r="J587">
        <v>19.86</v>
      </c>
      <c r="K587">
        <v>19.86</v>
      </c>
      <c r="L587">
        <v>19.86</v>
      </c>
      <c r="M587" s="6">
        <v>0.76190476190476186</v>
      </c>
      <c r="N587" s="6">
        <v>0.19047619047619047</v>
      </c>
      <c r="O587" s="6">
        <v>4.7619047619047616E-2</v>
      </c>
      <c r="P587" s="10">
        <v>118</v>
      </c>
      <c r="Q587">
        <v>51.25</v>
      </c>
      <c r="R587">
        <v>5.13</v>
      </c>
      <c r="S587">
        <v>15.38</v>
      </c>
      <c r="T587">
        <v>15.38</v>
      </c>
      <c r="U587">
        <v>15.38</v>
      </c>
      <c r="V587" s="6">
        <v>0.26315789473684209</v>
      </c>
      <c r="W587" s="6">
        <v>0.15789473684210525</v>
      </c>
      <c r="X587" s="6">
        <v>0.57894736842105265</v>
      </c>
      <c r="Y587" s="11">
        <f>VLOOKUP(G587,'[1]historico puntos 2022-2025'!$A$2:$G$19,7,0)</f>
        <v>98</v>
      </c>
      <c r="Z587" t="s">
        <v>38</v>
      </c>
      <c r="AA587">
        <f t="shared" si="29"/>
        <v>585</v>
      </c>
    </row>
    <row r="588" spans="1:27" hidden="1" x14ac:dyDescent="0.3">
      <c r="A588" t="str">
        <f t="shared" si="27"/>
        <v>2023-Toluca</v>
      </c>
      <c r="B588" t="str">
        <f t="shared" si="28"/>
        <v>2023-Monterrey</v>
      </c>
      <c r="C588">
        <v>2023</v>
      </c>
      <c r="D588" t="s">
        <v>2</v>
      </c>
      <c r="E588" s="2">
        <v>1</v>
      </c>
      <c r="F588" s="2">
        <v>0</v>
      </c>
      <c r="G588" t="s">
        <v>3</v>
      </c>
      <c r="H588">
        <v>66.2</v>
      </c>
      <c r="I588">
        <v>6.62</v>
      </c>
      <c r="J588">
        <v>19.86</v>
      </c>
      <c r="K588">
        <v>19.86</v>
      </c>
      <c r="L588">
        <v>19.86</v>
      </c>
      <c r="M588" s="6">
        <v>0.76190476190476186</v>
      </c>
      <c r="N588" s="6">
        <v>0.19047619047619047</v>
      </c>
      <c r="O588" s="6">
        <v>4.7619047619047616E-2</v>
      </c>
      <c r="P588" s="10">
        <v>118</v>
      </c>
      <c r="Q588">
        <v>88.1</v>
      </c>
      <c r="R588">
        <v>8.81</v>
      </c>
      <c r="S588">
        <v>26.43</v>
      </c>
      <c r="T588">
        <v>26.43</v>
      </c>
      <c r="U588">
        <v>26.43</v>
      </c>
      <c r="V588" s="6">
        <v>0.38095238095238093</v>
      </c>
      <c r="W588" s="6">
        <v>0.23809523809523808</v>
      </c>
      <c r="X588" s="6">
        <v>0.38095238095238093</v>
      </c>
      <c r="Y588" s="11">
        <f>VLOOKUP(G588,'[1]historico puntos 2022-2025'!$A$2:$G$19,7,0)</f>
        <v>118</v>
      </c>
      <c r="Z588" t="s">
        <v>38</v>
      </c>
      <c r="AA588">
        <f t="shared" si="29"/>
        <v>586</v>
      </c>
    </row>
    <row r="589" spans="1:27" hidden="1" x14ac:dyDescent="0.3">
      <c r="A589" t="str">
        <f t="shared" si="27"/>
        <v>2023-Atlas</v>
      </c>
      <c r="B589" t="str">
        <f t="shared" si="28"/>
        <v>2023-Toluca</v>
      </c>
      <c r="C589">
        <v>2023</v>
      </c>
      <c r="D589" t="s">
        <v>5</v>
      </c>
      <c r="E589" s="2">
        <v>0</v>
      </c>
      <c r="F589" s="2">
        <v>0</v>
      </c>
      <c r="G589" t="s">
        <v>2</v>
      </c>
      <c r="H589">
        <v>30.7</v>
      </c>
      <c r="I589">
        <v>3.07</v>
      </c>
      <c r="J589">
        <v>9.2100000000000009</v>
      </c>
      <c r="K589">
        <v>9.2100000000000009</v>
      </c>
      <c r="L589">
        <v>9.2100000000000009</v>
      </c>
      <c r="M589" s="6" t="s">
        <v>37</v>
      </c>
      <c r="N589" s="6" t="s">
        <v>37</v>
      </c>
      <c r="O589" s="6" t="s">
        <v>37</v>
      </c>
      <c r="P589" s="10">
        <v>60</v>
      </c>
      <c r="Q589">
        <v>66.2</v>
      </c>
      <c r="R589">
        <v>6.62</v>
      </c>
      <c r="S589">
        <v>19.86</v>
      </c>
      <c r="T589">
        <v>19.86</v>
      </c>
      <c r="U589">
        <v>19.86</v>
      </c>
      <c r="V589" s="6">
        <v>0.38095238095238093</v>
      </c>
      <c r="W589" s="6">
        <v>0.33333333333333331</v>
      </c>
      <c r="X589" s="6">
        <v>0.2857142857142857</v>
      </c>
      <c r="Y589" s="11">
        <f>VLOOKUP(G589,'[1]historico puntos 2022-2025'!$A$2:$G$19,7,0)</f>
        <v>118</v>
      </c>
      <c r="Z589" t="s">
        <v>39</v>
      </c>
      <c r="AA589">
        <f t="shared" si="29"/>
        <v>587</v>
      </c>
    </row>
    <row r="590" spans="1:27" hidden="1" x14ac:dyDescent="0.3">
      <c r="A590" t="str">
        <f t="shared" si="27"/>
        <v>2023-Pumas</v>
      </c>
      <c r="B590" t="str">
        <f t="shared" si="28"/>
        <v>2023-Toluca</v>
      </c>
      <c r="C590">
        <v>2023</v>
      </c>
      <c r="D590" t="s">
        <v>16</v>
      </c>
      <c r="E590" s="2">
        <v>1</v>
      </c>
      <c r="F590" s="2">
        <v>1</v>
      </c>
      <c r="G590" t="s">
        <v>2</v>
      </c>
      <c r="H590" t="s">
        <v>37</v>
      </c>
      <c r="I590" t="s">
        <v>37</v>
      </c>
      <c r="J590" t="s">
        <v>37</v>
      </c>
      <c r="K590" t="s">
        <v>37</v>
      </c>
      <c r="L590" t="s">
        <v>37</v>
      </c>
      <c r="M590" s="6">
        <v>0.5</v>
      </c>
      <c r="N590" s="6">
        <v>0.16666666666666666</v>
      </c>
      <c r="O590" s="6">
        <v>0.33333333333333331</v>
      </c>
      <c r="P590" s="10">
        <v>75</v>
      </c>
      <c r="Q590">
        <v>66.2</v>
      </c>
      <c r="R590">
        <v>6.62</v>
      </c>
      <c r="S590">
        <v>19.86</v>
      </c>
      <c r="T590">
        <v>19.86</v>
      </c>
      <c r="U590">
        <v>19.86</v>
      </c>
      <c r="V590" s="6">
        <v>0.38095238095238093</v>
      </c>
      <c r="W590" s="6">
        <v>0.33333333333333331</v>
      </c>
      <c r="X590" s="6">
        <v>0.2857142857142857</v>
      </c>
      <c r="Y590" s="11">
        <f>VLOOKUP(G590,'[1]historico puntos 2022-2025'!$A$2:$G$19,7,0)</f>
        <v>118</v>
      </c>
      <c r="Z590" t="s">
        <v>39</v>
      </c>
      <c r="AA590">
        <f t="shared" si="29"/>
        <v>588</v>
      </c>
    </row>
    <row r="591" spans="1:27" hidden="1" x14ac:dyDescent="0.3">
      <c r="A591" t="str">
        <f t="shared" si="27"/>
        <v>2023-Toluca</v>
      </c>
      <c r="B591" t="str">
        <f t="shared" si="28"/>
        <v>2023-Necaxa</v>
      </c>
      <c r="C591">
        <v>2023</v>
      </c>
      <c r="D591" t="s">
        <v>2</v>
      </c>
      <c r="E591" s="2">
        <v>0</v>
      </c>
      <c r="F591" s="2">
        <v>0</v>
      </c>
      <c r="G591" t="s">
        <v>4</v>
      </c>
      <c r="H591">
        <v>66.2</v>
      </c>
      <c r="I591">
        <v>6.62</v>
      </c>
      <c r="J591">
        <v>19.86</v>
      </c>
      <c r="K591">
        <v>19.86</v>
      </c>
      <c r="L591">
        <v>19.86</v>
      </c>
      <c r="M591" s="6">
        <v>0.76190476190476186</v>
      </c>
      <c r="N591" s="6">
        <v>0.19047619047619047</v>
      </c>
      <c r="O591" s="6">
        <v>4.7619047619047616E-2</v>
      </c>
      <c r="P591" s="10">
        <v>118</v>
      </c>
      <c r="Q591">
        <v>40</v>
      </c>
      <c r="R591">
        <v>4</v>
      </c>
      <c r="S591">
        <v>12</v>
      </c>
      <c r="T591">
        <v>12</v>
      </c>
      <c r="U591">
        <v>12</v>
      </c>
      <c r="V591" s="6">
        <v>0.27777777777777779</v>
      </c>
      <c r="W591" s="6">
        <v>0.27777777777777779</v>
      </c>
      <c r="X591" s="6">
        <v>0.44444444444444442</v>
      </c>
      <c r="Y591" s="11">
        <f>VLOOKUP(G591,'[1]historico puntos 2022-2025'!$A$2:$G$19,7,0)</f>
        <v>77</v>
      </c>
      <c r="Z591" t="s">
        <v>39</v>
      </c>
      <c r="AA591">
        <f t="shared" si="29"/>
        <v>589</v>
      </c>
    </row>
  </sheetData>
  <autoFilter ref="A1:W591">
    <filterColumn colId="3">
      <filters>
        <filter val="Tigr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IA_database__entrenamiento _pru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2025-06-16T02:04:35Z</dcterms:created>
  <dcterms:modified xsi:type="dcterms:W3CDTF">2025-07-09T04:17:21Z</dcterms:modified>
</cp:coreProperties>
</file>