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68" yWindow="312" windowWidth="21828" windowHeight="9276"/>
  </bookViews>
  <sheets>
    <sheet name="base_pronostico" sheetId="1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B9" i="1" l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I9" i="1" l="1"/>
  <c r="O8" i="1"/>
  <c r="M7" i="1"/>
  <c r="I7" i="1"/>
  <c r="O4" i="1"/>
  <c r="L7" i="1"/>
  <c r="L5" i="1"/>
  <c r="L3" i="1"/>
  <c r="I8" i="1"/>
  <c r="O7" i="1"/>
  <c r="M6" i="1"/>
  <c r="K3" i="1"/>
  <c r="P9" i="1"/>
  <c r="L9" i="1"/>
  <c r="H9" i="1"/>
  <c r="J8" i="1"/>
  <c r="O9" i="1"/>
  <c r="K7" i="1"/>
  <c r="K5" i="1"/>
  <c r="O3" i="1"/>
  <c r="N9" i="1"/>
  <c r="J9" i="1"/>
  <c r="P8" i="1"/>
  <c r="L8" i="1"/>
  <c r="H8" i="1"/>
  <c r="N7" i="1"/>
  <c r="J7" i="1"/>
  <c r="P6" i="1"/>
  <c r="L6" i="1"/>
  <c r="H6" i="1"/>
  <c r="N5" i="1"/>
  <c r="J5" i="1"/>
  <c r="P4" i="1"/>
  <c r="L4" i="1"/>
  <c r="H4" i="1"/>
  <c r="N3" i="1"/>
  <c r="J3" i="1"/>
  <c r="M9" i="1"/>
  <c r="K8" i="1"/>
  <c r="O6" i="1"/>
  <c r="K6" i="1"/>
  <c r="M5" i="1"/>
  <c r="I5" i="1"/>
  <c r="K4" i="1"/>
  <c r="M3" i="1"/>
  <c r="I3" i="1"/>
  <c r="N8" i="1"/>
  <c r="P7" i="1"/>
  <c r="H7" i="1"/>
  <c r="N6" i="1"/>
  <c r="J6" i="1"/>
  <c r="P5" i="1"/>
  <c r="H5" i="1"/>
  <c r="N4" i="1"/>
  <c r="J4" i="1"/>
  <c r="P3" i="1"/>
  <c r="H3" i="1"/>
  <c r="K9" i="1"/>
  <c r="M8" i="1"/>
  <c r="I6" i="1"/>
  <c r="O5" i="1"/>
  <c r="M4" i="1"/>
  <c r="I4" i="1"/>
  <c r="Y9" i="1"/>
  <c r="Y7" i="1"/>
  <c r="S6" i="1"/>
  <c r="Y5" i="1"/>
  <c r="Q5" i="1"/>
  <c r="W4" i="1"/>
  <c r="Y3" i="1"/>
  <c r="Q3" i="1"/>
  <c r="W2" i="1"/>
  <c r="X7" i="1"/>
  <c r="R6" i="1"/>
  <c r="X5" i="1"/>
  <c r="R4" i="1"/>
  <c r="X3" i="1"/>
  <c r="R2" i="1"/>
  <c r="S9" i="1"/>
  <c r="U8" i="1"/>
  <c r="Y6" i="1"/>
  <c r="S5" i="1"/>
  <c r="U4" i="1"/>
  <c r="Q4" i="1"/>
  <c r="W3" i="1"/>
  <c r="Q2" i="1"/>
  <c r="X9" i="1"/>
  <c r="T9" i="1"/>
  <c r="V8" i="1"/>
  <c r="R8" i="1"/>
  <c r="T7" i="1"/>
  <c r="V6" i="1"/>
  <c r="T5" i="1"/>
  <c r="V4" i="1"/>
  <c r="T3" i="1"/>
  <c r="V2" i="1"/>
  <c r="Q8" i="1"/>
  <c r="W7" i="1"/>
  <c r="Q6" i="1"/>
  <c r="W5" i="1"/>
  <c r="Y2" i="1"/>
  <c r="V9" i="1"/>
  <c r="R9" i="1"/>
  <c r="X8" i="1"/>
  <c r="T8" i="1"/>
  <c r="V7" i="1"/>
  <c r="R7" i="1"/>
  <c r="X6" i="1"/>
  <c r="T6" i="1"/>
  <c r="V5" i="1"/>
  <c r="R5" i="1"/>
  <c r="X4" i="1"/>
  <c r="T4" i="1"/>
  <c r="V3" i="1"/>
  <c r="R3" i="1"/>
  <c r="X2" i="1"/>
  <c r="T2" i="1"/>
  <c r="U9" i="1"/>
  <c r="Q9" i="1"/>
  <c r="W8" i="1"/>
  <c r="S8" i="1"/>
  <c r="U7" i="1"/>
  <c r="Q7" i="1"/>
  <c r="W6" i="1"/>
  <c r="U5" i="1"/>
  <c r="S4" i="1"/>
  <c r="U3" i="1"/>
  <c r="S2" i="1"/>
  <c r="W9" i="1"/>
  <c r="Y8" i="1"/>
  <c r="S7" i="1"/>
  <c r="U6" i="1"/>
  <c r="Y4" i="1"/>
  <c r="S3" i="1"/>
  <c r="U2" i="1"/>
  <c r="N2" i="1"/>
  <c r="J2" i="1"/>
  <c r="M2" i="1"/>
  <c r="I2" i="1"/>
  <c r="P2" i="1"/>
  <c r="L2" i="1"/>
  <c r="H2" i="1"/>
  <c r="O2" i="1"/>
  <c r="K2" i="1"/>
</calcChain>
</file>

<file path=xl/sharedStrings.xml><?xml version="1.0" encoding="utf-8"?>
<sst xmlns="http://schemas.openxmlformats.org/spreadsheetml/2006/main" count="66" uniqueCount="43">
  <si>
    <t>llave año-equipo local</t>
  </si>
  <si>
    <t>llave año-equipo visitante</t>
  </si>
  <si>
    <t>año</t>
  </si>
  <si>
    <t>equipo local</t>
  </si>
  <si>
    <t>marcador local</t>
  </si>
  <si>
    <t>marcador visitante</t>
  </si>
  <si>
    <t>equipo visitante</t>
  </si>
  <si>
    <t>Total Mercado (€ M) local</t>
  </si>
  <si>
    <t>Portero (€ M) local</t>
  </si>
  <si>
    <t>Defensa (€ M) local</t>
  </si>
  <si>
    <t>Mediocampo (€ M) local</t>
  </si>
  <si>
    <t>Delantera (€ M)  local</t>
  </si>
  <si>
    <t>% Ganado local</t>
  </si>
  <si>
    <t>% Emape Casa local</t>
  </si>
  <si>
    <t>% derrota local</t>
  </si>
  <si>
    <t>Dominancia en puntos local</t>
  </si>
  <si>
    <t>Total Mercado (€ M) visita</t>
  </si>
  <si>
    <t>Portero (€ M) visita</t>
  </si>
  <si>
    <t>Defensa (€ M) visita</t>
  </si>
  <si>
    <t>Mediocampo (€ M) visita</t>
  </si>
  <si>
    <t>Delantera (€ M)  visita</t>
  </si>
  <si>
    <t xml:space="preserve">% Ganado Visita </t>
  </si>
  <si>
    <t xml:space="preserve">% Empate Visita </t>
  </si>
  <si>
    <t>% Derrota Visitante</t>
  </si>
  <si>
    <t>Dominancia en puntos visita</t>
  </si>
  <si>
    <t>resultado</t>
  </si>
  <si>
    <t>Pumas</t>
  </si>
  <si>
    <t>NULL</t>
  </si>
  <si>
    <t>Atlas</t>
  </si>
  <si>
    <t>América</t>
  </si>
  <si>
    <t>Juarez</t>
  </si>
  <si>
    <t>Xolos</t>
  </si>
  <si>
    <t>Querétaro</t>
  </si>
  <si>
    <t>Puebla</t>
  </si>
  <si>
    <t>Toluca</t>
  </si>
  <si>
    <t>Necaxa</t>
  </si>
  <si>
    <t>Cruz Azul</t>
  </si>
  <si>
    <t>Mazatlán</t>
  </si>
  <si>
    <t>Pachuca</t>
  </si>
  <si>
    <t>Monterrey</t>
  </si>
  <si>
    <t>Chivas</t>
  </si>
  <si>
    <t>Tigres</t>
  </si>
  <si>
    <t>Santos Laguna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</si>
</sst>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A_database__entrenamiento%20_prueba_LIGA_M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A_database__entrenamiento _pru"/>
    </sheetNames>
    <sheetDataSet>
      <sheetData sheetId="0">
        <row r="1">
          <cell r="B1" t="str">
            <v>llave año-equipo visitante</v>
          </cell>
          <cell r="C1" t="str">
            <v>año</v>
          </cell>
          <cell r="D1" t="str">
            <v>equipo local</v>
          </cell>
          <cell r="E1" t="str">
            <v>marcador local</v>
          </cell>
          <cell r="F1" t="str">
            <v>marcador visitante</v>
          </cell>
          <cell r="G1" t="str">
            <v>equipo visitante</v>
          </cell>
          <cell r="H1" t="str">
            <v>Total Mercado (€ M) local</v>
          </cell>
          <cell r="I1" t="str">
            <v>Portero (€ M) local</v>
          </cell>
          <cell r="J1" t="str">
            <v>Defensa (€ M) local</v>
          </cell>
          <cell r="K1" t="str">
            <v>Mediocampo (€ M) local</v>
          </cell>
          <cell r="L1" t="str">
            <v>Delantera (€ M)  local</v>
          </cell>
          <cell r="M1" t="str">
            <v>% Ganado local</v>
          </cell>
          <cell r="N1" t="str">
            <v>% Emape Casa local</v>
          </cell>
          <cell r="O1" t="str">
            <v>% derrota local</v>
          </cell>
          <cell r="P1" t="str">
            <v>Dominancia en puntos local</v>
          </cell>
          <cell r="Q1" t="str">
            <v>Total Mercado (€ M) visita</v>
          </cell>
          <cell r="R1" t="str">
            <v>Portero (€ M) visita</v>
          </cell>
          <cell r="S1" t="str">
            <v>Defensa (€ M) visita</v>
          </cell>
          <cell r="T1" t="str">
            <v>Mediocampo (€ M) visita</v>
          </cell>
          <cell r="U1" t="str">
            <v>Delantera (€ M)  visita</v>
          </cell>
          <cell r="V1" t="str">
            <v xml:space="preserve">% Ganado Visita </v>
          </cell>
          <cell r="W1" t="str">
            <v xml:space="preserve">% Empate Visita </v>
          </cell>
          <cell r="X1" t="str">
            <v>% Derrota Visitante</v>
          </cell>
          <cell r="Y1" t="str">
            <v>Dominancia en puntos visita</v>
          </cell>
        </row>
        <row r="2">
          <cell r="A2" t="str">
            <v>2024-América</v>
          </cell>
          <cell r="B2" t="str">
            <v>2024-Cruz Azul</v>
          </cell>
          <cell r="C2">
            <v>2024</v>
          </cell>
          <cell r="D2" t="str">
            <v>América</v>
          </cell>
          <cell r="E2">
            <v>1</v>
          </cell>
          <cell r="F2">
            <v>0</v>
          </cell>
          <cell r="G2" t="str">
            <v>Cruz Azul</v>
          </cell>
          <cell r="H2">
            <v>92.45</v>
          </cell>
          <cell r="I2">
            <v>9.25</v>
          </cell>
          <cell r="J2">
            <v>27.73</v>
          </cell>
          <cell r="K2">
            <v>27.73</v>
          </cell>
          <cell r="L2">
            <v>27.73</v>
          </cell>
          <cell r="M2">
            <v>0.65217391304347827</v>
          </cell>
          <cell r="N2">
            <v>0.21739130434782608</v>
          </cell>
          <cell r="O2">
            <v>0.22</v>
          </cell>
          <cell r="P2">
            <v>133</v>
          </cell>
          <cell r="Q2">
            <v>78.849999999999994</v>
          </cell>
          <cell r="R2">
            <v>7.89</v>
          </cell>
          <cell r="S2">
            <v>23.66</v>
          </cell>
          <cell r="T2">
            <v>23.66</v>
          </cell>
          <cell r="U2">
            <v>23.66</v>
          </cell>
          <cell r="V2">
            <v>0.52380952380952384</v>
          </cell>
          <cell r="W2">
            <v>0.23809523809523808</v>
          </cell>
          <cell r="X2">
            <v>0.23809523809523808</v>
          </cell>
          <cell r="Y2">
            <v>107</v>
          </cell>
        </row>
        <row r="3">
          <cell r="A3" t="str">
            <v>2024-Cruz Azul</v>
          </cell>
          <cell r="B3" t="str">
            <v>2024-América</v>
          </cell>
          <cell r="C3">
            <v>2024</v>
          </cell>
          <cell r="D3" t="str">
            <v>Cruz Azul</v>
          </cell>
          <cell r="E3">
            <v>1</v>
          </cell>
          <cell r="F3">
            <v>1</v>
          </cell>
          <cell r="G3" t="str">
            <v>América</v>
          </cell>
          <cell r="H3">
            <v>78.849999999999994</v>
          </cell>
          <cell r="I3">
            <v>7.89</v>
          </cell>
          <cell r="J3">
            <v>23.66</v>
          </cell>
          <cell r="K3">
            <v>23.66</v>
          </cell>
          <cell r="L3">
            <v>23.66</v>
          </cell>
          <cell r="M3">
            <v>0.7142857142857143</v>
          </cell>
          <cell r="N3">
            <v>0.23809523809523808</v>
          </cell>
          <cell r="O3">
            <v>4.7619047619047616E-2</v>
          </cell>
          <cell r="P3">
            <v>107</v>
          </cell>
          <cell r="Q3">
            <v>92.45</v>
          </cell>
          <cell r="R3">
            <v>9.25</v>
          </cell>
          <cell r="S3">
            <v>27.73</v>
          </cell>
          <cell r="T3">
            <v>27.73</v>
          </cell>
          <cell r="U3">
            <v>27.73</v>
          </cell>
          <cell r="V3">
            <v>0.375</v>
          </cell>
          <cell r="W3">
            <v>0.29166666666666669</v>
          </cell>
          <cell r="X3">
            <v>0.33333333333333331</v>
          </cell>
          <cell r="Y3">
            <v>133</v>
          </cell>
        </row>
        <row r="4">
          <cell r="A4" t="str">
            <v>2024-América</v>
          </cell>
          <cell r="B4" t="str">
            <v>2024-Chivas</v>
          </cell>
          <cell r="C4">
            <v>2024</v>
          </cell>
          <cell r="D4" t="str">
            <v>América</v>
          </cell>
          <cell r="E4">
            <v>1</v>
          </cell>
          <cell r="F4">
            <v>0</v>
          </cell>
          <cell r="G4" t="str">
            <v>Chivas</v>
          </cell>
          <cell r="H4">
            <v>92.45</v>
          </cell>
          <cell r="I4">
            <v>9.25</v>
          </cell>
          <cell r="J4">
            <v>27.73</v>
          </cell>
          <cell r="K4">
            <v>27.73</v>
          </cell>
          <cell r="L4">
            <v>27.73</v>
          </cell>
          <cell r="M4">
            <v>0.65217391304347827</v>
          </cell>
          <cell r="N4">
            <v>0.21739130434782608</v>
          </cell>
          <cell r="O4">
            <v>0.13043478260869565</v>
          </cell>
          <cell r="P4">
            <v>133</v>
          </cell>
          <cell r="Q4" t="str">
            <v>NULL</v>
          </cell>
          <cell r="R4" t="str">
            <v>NULL</v>
          </cell>
          <cell r="S4" t="str">
            <v>NULL</v>
          </cell>
          <cell r="T4" t="str">
            <v>NULL</v>
          </cell>
          <cell r="U4" t="str">
            <v>NULL</v>
          </cell>
          <cell r="V4">
            <v>0.23529411764705882</v>
          </cell>
          <cell r="W4">
            <v>0.23529411764705882</v>
          </cell>
          <cell r="X4">
            <v>0.52941176470588236</v>
          </cell>
          <cell r="Y4">
            <v>99</v>
          </cell>
        </row>
        <row r="5">
          <cell r="A5" t="str">
            <v>2024-Chivas</v>
          </cell>
          <cell r="B5" t="str">
            <v>2024-América</v>
          </cell>
          <cell r="C5">
            <v>2024</v>
          </cell>
          <cell r="D5" t="str">
            <v>Chivas</v>
          </cell>
          <cell r="E5">
            <v>0</v>
          </cell>
          <cell r="F5">
            <v>0</v>
          </cell>
          <cell r="G5" t="str">
            <v>América</v>
          </cell>
          <cell r="H5">
            <v>70.2</v>
          </cell>
          <cell r="I5">
            <v>7.02</v>
          </cell>
          <cell r="J5">
            <v>21.06</v>
          </cell>
          <cell r="K5">
            <v>21.06</v>
          </cell>
          <cell r="L5">
            <v>21.06</v>
          </cell>
          <cell r="M5">
            <v>0.44444444444444442</v>
          </cell>
          <cell r="N5">
            <v>0.33333333333333331</v>
          </cell>
          <cell r="O5">
            <v>0.22222222222222221</v>
          </cell>
          <cell r="P5">
            <v>99</v>
          </cell>
          <cell r="Q5">
            <v>92.45</v>
          </cell>
          <cell r="R5">
            <v>9.25</v>
          </cell>
          <cell r="S5">
            <v>27.73</v>
          </cell>
          <cell r="T5">
            <v>27.73</v>
          </cell>
          <cell r="U5">
            <v>27.73</v>
          </cell>
          <cell r="V5">
            <v>0.375</v>
          </cell>
          <cell r="W5">
            <v>0.29166666666666669</v>
          </cell>
          <cell r="X5">
            <v>0.33333333333333331</v>
          </cell>
          <cell r="Y5">
            <v>133</v>
          </cell>
        </row>
        <row r="6">
          <cell r="A6" t="str">
            <v>2024-América</v>
          </cell>
          <cell r="B6" t="str">
            <v>2024-Pachuca</v>
          </cell>
          <cell r="C6">
            <v>2024</v>
          </cell>
          <cell r="D6" t="str">
            <v>América</v>
          </cell>
          <cell r="E6">
            <v>1</v>
          </cell>
          <cell r="F6">
            <v>1</v>
          </cell>
          <cell r="G6" t="str">
            <v>Pachuca</v>
          </cell>
          <cell r="H6">
            <v>92.45</v>
          </cell>
          <cell r="I6">
            <v>9.25</v>
          </cell>
          <cell r="J6">
            <v>27.73</v>
          </cell>
          <cell r="K6">
            <v>27.73</v>
          </cell>
          <cell r="L6">
            <v>27.73</v>
          </cell>
          <cell r="M6">
            <v>0.65217391304347827</v>
          </cell>
          <cell r="N6">
            <v>0.21739130434782608</v>
          </cell>
          <cell r="O6">
            <v>0.13043478260869565</v>
          </cell>
          <cell r="P6">
            <v>133</v>
          </cell>
          <cell r="Q6">
            <v>56.6</v>
          </cell>
          <cell r="R6">
            <v>5.66</v>
          </cell>
          <cell r="S6">
            <v>16.98</v>
          </cell>
          <cell r="T6">
            <v>16.98</v>
          </cell>
          <cell r="U6">
            <v>16.98</v>
          </cell>
          <cell r="V6">
            <v>0.26315789473684209</v>
          </cell>
          <cell r="W6">
            <v>0.15789473684210525</v>
          </cell>
          <cell r="X6">
            <v>0.57894736842105265</v>
          </cell>
          <cell r="Y6">
            <v>98</v>
          </cell>
        </row>
        <row r="7">
          <cell r="A7" t="str">
            <v>2024-Pachuca</v>
          </cell>
          <cell r="B7" t="str">
            <v>2024-América</v>
          </cell>
          <cell r="C7">
            <v>2024</v>
          </cell>
          <cell r="D7" t="str">
            <v>Pachuca</v>
          </cell>
          <cell r="E7">
            <v>1</v>
          </cell>
          <cell r="F7">
            <v>1</v>
          </cell>
          <cell r="G7" t="str">
            <v>América</v>
          </cell>
          <cell r="H7">
            <v>56.6</v>
          </cell>
          <cell r="I7">
            <v>5.66</v>
          </cell>
          <cell r="J7">
            <v>16.98</v>
          </cell>
          <cell r="K7">
            <v>16.98</v>
          </cell>
          <cell r="L7">
            <v>16.98</v>
          </cell>
          <cell r="M7">
            <v>0.3888888888888889</v>
          </cell>
          <cell r="N7">
            <v>0.33333333333333331</v>
          </cell>
          <cell r="O7">
            <v>0.27777777777777779</v>
          </cell>
          <cell r="P7">
            <v>98</v>
          </cell>
          <cell r="Q7">
            <v>92.45</v>
          </cell>
          <cell r="R7">
            <v>9.25</v>
          </cell>
          <cell r="S7">
            <v>27.73</v>
          </cell>
          <cell r="T7">
            <v>27.73</v>
          </cell>
          <cell r="U7">
            <v>27.73</v>
          </cell>
          <cell r="V7">
            <v>0.375</v>
          </cell>
          <cell r="W7">
            <v>0.29166666666666669</v>
          </cell>
          <cell r="X7">
            <v>0.33333333333333331</v>
          </cell>
          <cell r="Y7">
            <v>133</v>
          </cell>
        </row>
        <row r="8">
          <cell r="A8" t="str">
            <v>2024-Puebla</v>
          </cell>
          <cell r="B8" t="str">
            <v>2024-América</v>
          </cell>
          <cell r="C8">
            <v>2024</v>
          </cell>
          <cell r="D8" t="str">
            <v>Puebla</v>
          </cell>
          <cell r="E8">
            <v>1</v>
          </cell>
          <cell r="F8">
            <v>2</v>
          </cell>
          <cell r="G8" t="str">
            <v>América</v>
          </cell>
          <cell r="H8">
            <v>24.1</v>
          </cell>
          <cell r="I8">
            <v>2.41</v>
          </cell>
          <cell r="J8">
            <v>7.23</v>
          </cell>
          <cell r="K8">
            <v>7.23</v>
          </cell>
          <cell r="L8">
            <v>7.23</v>
          </cell>
          <cell r="M8">
            <v>0.23529411764705882</v>
          </cell>
          <cell r="N8">
            <v>0.11764705882352941</v>
          </cell>
          <cell r="O8">
            <v>0.6470588235294118</v>
          </cell>
          <cell r="P8">
            <v>34</v>
          </cell>
          <cell r="Q8">
            <v>92.45</v>
          </cell>
          <cell r="R8">
            <v>9.25</v>
          </cell>
          <cell r="S8">
            <v>27.73</v>
          </cell>
          <cell r="T8">
            <v>27.73</v>
          </cell>
          <cell r="U8">
            <v>27.73</v>
          </cell>
          <cell r="V8">
            <v>0.375</v>
          </cell>
          <cell r="W8">
            <v>0.29166666666666669</v>
          </cell>
          <cell r="X8">
            <v>0.33333333333333331</v>
          </cell>
          <cell r="Y8">
            <v>133</v>
          </cell>
        </row>
        <row r="9">
          <cell r="A9" t="str">
            <v>2024-Pumas</v>
          </cell>
          <cell r="B9" t="str">
            <v>2024-América</v>
          </cell>
          <cell r="C9">
            <v>2024</v>
          </cell>
          <cell r="D9" t="str">
            <v>Pumas</v>
          </cell>
          <cell r="E9">
            <v>2</v>
          </cell>
          <cell r="F9">
            <v>1</v>
          </cell>
          <cell r="G9" t="str">
            <v>América</v>
          </cell>
          <cell r="H9">
            <v>47.6</v>
          </cell>
          <cell r="I9">
            <v>4.76</v>
          </cell>
          <cell r="J9">
            <v>14.28</v>
          </cell>
          <cell r="K9">
            <v>14.28</v>
          </cell>
          <cell r="L9">
            <v>14.28</v>
          </cell>
          <cell r="M9">
            <v>0.5</v>
          </cell>
          <cell r="N9">
            <v>0.16666666666666666</v>
          </cell>
          <cell r="O9">
            <v>0.33333333333333331</v>
          </cell>
          <cell r="P9">
            <v>75</v>
          </cell>
          <cell r="Q9">
            <v>92.45</v>
          </cell>
          <cell r="R9">
            <v>9.25</v>
          </cell>
          <cell r="S9">
            <v>27.73</v>
          </cell>
          <cell r="T9">
            <v>27.73</v>
          </cell>
          <cell r="U9">
            <v>27.73</v>
          </cell>
          <cell r="V9">
            <v>0.375</v>
          </cell>
          <cell r="W9">
            <v>0.29166666666666669</v>
          </cell>
          <cell r="X9">
            <v>0.33333333333333331</v>
          </cell>
          <cell r="Y9">
            <v>133</v>
          </cell>
        </row>
        <row r="10">
          <cell r="A10" t="str">
            <v>2024-América</v>
          </cell>
          <cell r="B10" t="str">
            <v>2024-Toluca</v>
          </cell>
          <cell r="C10">
            <v>2024</v>
          </cell>
          <cell r="D10" t="str">
            <v>América</v>
          </cell>
          <cell r="E10">
            <v>5</v>
          </cell>
          <cell r="F10">
            <v>1</v>
          </cell>
          <cell r="G10" t="str">
            <v>Toluca</v>
          </cell>
          <cell r="H10">
            <v>92.45</v>
          </cell>
          <cell r="I10">
            <v>9.25</v>
          </cell>
          <cell r="J10">
            <v>27.73</v>
          </cell>
          <cell r="K10">
            <v>27.73</v>
          </cell>
          <cell r="L10">
            <v>27.73</v>
          </cell>
          <cell r="M10">
            <v>0.65217391304347827</v>
          </cell>
          <cell r="N10">
            <v>0.21739130434782608</v>
          </cell>
          <cell r="O10">
            <v>0.13043478260869565</v>
          </cell>
          <cell r="P10">
            <v>133</v>
          </cell>
          <cell r="Q10">
            <v>77.45</v>
          </cell>
          <cell r="R10">
            <v>7.75</v>
          </cell>
          <cell r="S10">
            <v>23.24</v>
          </cell>
          <cell r="T10">
            <v>23.24</v>
          </cell>
          <cell r="U10">
            <v>23.24</v>
          </cell>
          <cell r="V10">
            <v>0.38095238095238093</v>
          </cell>
          <cell r="W10">
            <v>0.33333333333333331</v>
          </cell>
          <cell r="X10">
            <v>0.2857142857142857</v>
          </cell>
          <cell r="Y10">
            <v>118</v>
          </cell>
        </row>
        <row r="11">
          <cell r="A11" t="str">
            <v>2024-Santos Laguna</v>
          </cell>
          <cell r="B11" t="str">
            <v>2024-América</v>
          </cell>
          <cell r="C11">
            <v>2024</v>
          </cell>
          <cell r="D11" t="str">
            <v>Santos Laguna</v>
          </cell>
          <cell r="E11">
            <v>1</v>
          </cell>
          <cell r="F11">
            <v>1</v>
          </cell>
          <cell r="G11" t="str">
            <v>América</v>
          </cell>
          <cell r="H11">
            <v>35.9</v>
          </cell>
          <cell r="I11">
            <v>3.59</v>
          </cell>
          <cell r="J11">
            <v>10.77</v>
          </cell>
          <cell r="K11">
            <v>10.77</v>
          </cell>
          <cell r="L11">
            <v>10.77</v>
          </cell>
          <cell r="M11">
            <v>0.23529411764705882</v>
          </cell>
          <cell r="N11">
            <v>0.17647058823529413</v>
          </cell>
          <cell r="O11">
            <v>0.58823529411764708</v>
          </cell>
          <cell r="P11">
            <v>46</v>
          </cell>
          <cell r="Q11">
            <v>92.45</v>
          </cell>
          <cell r="R11">
            <v>9.25</v>
          </cell>
          <cell r="S11">
            <v>27.73</v>
          </cell>
          <cell r="T11">
            <v>27.73</v>
          </cell>
          <cell r="U11">
            <v>27.73</v>
          </cell>
          <cell r="V11">
            <v>0.375</v>
          </cell>
          <cell r="W11">
            <v>0.29166666666666669</v>
          </cell>
          <cell r="X11">
            <v>0.33333333333333331</v>
          </cell>
          <cell r="Y11">
            <v>133</v>
          </cell>
        </row>
        <row r="12">
          <cell r="A12" t="str">
            <v>2024-América</v>
          </cell>
          <cell r="B12" t="str">
            <v>2024-Atlético San Luis</v>
          </cell>
          <cell r="C12">
            <v>2024</v>
          </cell>
          <cell r="D12" t="str">
            <v>América</v>
          </cell>
          <cell r="E12">
            <v>2</v>
          </cell>
          <cell r="F12">
            <v>1</v>
          </cell>
          <cell r="G12" t="str">
            <v>Atlético San Luis</v>
          </cell>
          <cell r="H12">
            <v>92.45</v>
          </cell>
          <cell r="I12">
            <v>9.25</v>
          </cell>
          <cell r="J12">
            <v>27.73</v>
          </cell>
          <cell r="K12">
            <v>27.73</v>
          </cell>
          <cell r="L12">
            <v>27.73</v>
          </cell>
          <cell r="M12">
            <v>0.65217391304347827</v>
          </cell>
          <cell r="N12">
            <v>0.21739130434782608</v>
          </cell>
          <cell r="O12">
            <v>0.13043478260869565</v>
          </cell>
          <cell r="P12">
            <v>133</v>
          </cell>
          <cell r="Q12">
            <v>45.95</v>
          </cell>
          <cell r="R12">
            <v>4.5999999999999996</v>
          </cell>
          <cell r="S12">
            <v>13.84</v>
          </cell>
          <cell r="T12">
            <v>13.84</v>
          </cell>
          <cell r="U12">
            <v>13.84</v>
          </cell>
          <cell r="V12">
            <v>0.21052631578947367</v>
          </cell>
          <cell r="W12">
            <v>0.15789473684210525</v>
          </cell>
          <cell r="X12">
            <v>0.63157894736842102</v>
          </cell>
          <cell r="Y12">
            <v>59</v>
          </cell>
        </row>
        <row r="13">
          <cell r="A13" t="str">
            <v>2024-Chivas</v>
          </cell>
          <cell r="B13" t="str">
            <v>2024-América</v>
          </cell>
          <cell r="C13">
            <v>2024</v>
          </cell>
          <cell r="D13" t="str">
            <v>Chivas</v>
          </cell>
          <cell r="E13">
            <v>0</v>
          </cell>
          <cell r="F13">
            <v>0</v>
          </cell>
          <cell r="G13" t="str">
            <v>América</v>
          </cell>
          <cell r="H13">
            <v>70.2</v>
          </cell>
          <cell r="I13">
            <v>7.02</v>
          </cell>
          <cell r="J13">
            <v>21.06</v>
          </cell>
          <cell r="K13">
            <v>21.06</v>
          </cell>
          <cell r="L13">
            <v>21.06</v>
          </cell>
          <cell r="M13">
            <v>0.44444444444444442</v>
          </cell>
          <cell r="N13">
            <v>0.33333333333333331</v>
          </cell>
          <cell r="O13">
            <v>0.22222222222222221</v>
          </cell>
          <cell r="P13">
            <v>99</v>
          </cell>
          <cell r="Q13">
            <v>92.45</v>
          </cell>
          <cell r="R13">
            <v>9.25</v>
          </cell>
          <cell r="S13">
            <v>27.73</v>
          </cell>
          <cell r="T13">
            <v>27.73</v>
          </cell>
          <cell r="U13">
            <v>27.73</v>
          </cell>
          <cell r="V13">
            <v>0.375</v>
          </cell>
          <cell r="W13">
            <v>0.29166666666666669</v>
          </cell>
          <cell r="X13">
            <v>0.33333333333333331</v>
          </cell>
          <cell r="Y13">
            <v>133</v>
          </cell>
        </row>
        <row r="14">
          <cell r="A14" t="str">
            <v>2024-América</v>
          </cell>
          <cell r="B14" t="str">
            <v>2024-Tigres</v>
          </cell>
          <cell r="C14">
            <v>2024</v>
          </cell>
          <cell r="D14" t="str">
            <v>América</v>
          </cell>
          <cell r="E14">
            <v>2</v>
          </cell>
          <cell r="F14">
            <v>0</v>
          </cell>
          <cell r="G14" t="str">
            <v>Tigres</v>
          </cell>
          <cell r="H14">
            <v>92.45</v>
          </cell>
          <cell r="I14">
            <v>9.25</v>
          </cell>
          <cell r="J14">
            <v>27.73</v>
          </cell>
          <cell r="K14">
            <v>27.73</v>
          </cell>
          <cell r="L14">
            <v>27.73</v>
          </cell>
          <cell r="M14">
            <v>0.65217391304347827</v>
          </cell>
          <cell r="N14">
            <v>0.21739130434782608</v>
          </cell>
          <cell r="O14">
            <v>0.13043478260869565</v>
          </cell>
          <cell r="P14">
            <v>133</v>
          </cell>
          <cell r="Q14" t="str">
            <v>NULL</v>
          </cell>
          <cell r="R14" t="str">
            <v>NULL</v>
          </cell>
          <cell r="S14" t="str">
            <v>NULL</v>
          </cell>
          <cell r="T14" t="str">
            <v>NULL</v>
          </cell>
          <cell r="U14" t="str">
            <v>NULL</v>
          </cell>
          <cell r="V14">
            <v>0.3</v>
          </cell>
          <cell r="W14">
            <v>0.3</v>
          </cell>
          <cell r="X14">
            <v>0.4</v>
          </cell>
          <cell r="Y14">
            <v>107</v>
          </cell>
        </row>
        <row r="15">
          <cell r="A15" t="str">
            <v>2024-América</v>
          </cell>
          <cell r="B15" t="str">
            <v>2024-Cruz Azul</v>
          </cell>
          <cell r="C15">
            <v>2024</v>
          </cell>
          <cell r="D15" t="str">
            <v>América</v>
          </cell>
          <cell r="E15">
            <v>1</v>
          </cell>
          <cell r="F15">
            <v>0</v>
          </cell>
          <cell r="G15" t="str">
            <v>Cruz Azul</v>
          </cell>
          <cell r="H15">
            <v>92.45</v>
          </cell>
          <cell r="I15">
            <v>9.25</v>
          </cell>
          <cell r="J15">
            <v>27.73</v>
          </cell>
          <cell r="K15">
            <v>27.73</v>
          </cell>
          <cell r="L15">
            <v>27.73</v>
          </cell>
          <cell r="M15">
            <v>0.65217391304347827</v>
          </cell>
          <cell r="N15">
            <v>0.21739130434782608</v>
          </cell>
          <cell r="O15">
            <v>0.13043478260869565</v>
          </cell>
          <cell r="P15">
            <v>133</v>
          </cell>
          <cell r="Q15">
            <v>78.849999999999994</v>
          </cell>
          <cell r="R15">
            <v>7.89</v>
          </cell>
          <cell r="S15">
            <v>23.66</v>
          </cell>
          <cell r="T15">
            <v>23.66</v>
          </cell>
          <cell r="U15">
            <v>23.66</v>
          </cell>
          <cell r="V15">
            <v>0.52380952380952384</v>
          </cell>
          <cell r="W15">
            <v>0.23809523809523808</v>
          </cell>
          <cell r="X15">
            <v>0.23809523809523808</v>
          </cell>
          <cell r="Y15">
            <v>107</v>
          </cell>
        </row>
        <row r="16">
          <cell r="A16" t="str">
            <v>2024-América</v>
          </cell>
          <cell r="B16" t="str">
            <v>2024-Mazatlán</v>
          </cell>
          <cell r="C16">
            <v>2024</v>
          </cell>
          <cell r="D16" t="str">
            <v>América</v>
          </cell>
          <cell r="E16">
            <v>2</v>
          </cell>
          <cell r="F16">
            <v>2</v>
          </cell>
          <cell r="G16" t="str">
            <v>Mazatlán</v>
          </cell>
          <cell r="H16">
            <v>92.45</v>
          </cell>
          <cell r="I16">
            <v>9.25</v>
          </cell>
          <cell r="J16">
            <v>27.73</v>
          </cell>
          <cell r="K16">
            <v>27.73</v>
          </cell>
          <cell r="L16">
            <v>27.73</v>
          </cell>
          <cell r="M16">
            <v>0.65217391304347827</v>
          </cell>
          <cell r="N16">
            <v>0.21739130434782608</v>
          </cell>
          <cell r="O16">
            <v>0.13043478260869565</v>
          </cell>
          <cell r="P16">
            <v>133</v>
          </cell>
          <cell r="Q16">
            <v>31.45</v>
          </cell>
          <cell r="R16">
            <v>3.15</v>
          </cell>
          <cell r="S16">
            <v>9.44</v>
          </cell>
          <cell r="T16">
            <v>9.44</v>
          </cell>
          <cell r="U16">
            <v>9.44</v>
          </cell>
          <cell r="V16">
            <v>5.8823529411764705E-2</v>
          </cell>
          <cell r="W16">
            <v>0.29411764705882354</v>
          </cell>
          <cell r="X16">
            <v>0.6470588235294118</v>
          </cell>
          <cell r="Y16">
            <v>40</v>
          </cell>
        </row>
        <row r="17">
          <cell r="A17" t="str">
            <v>2024-Pachuca</v>
          </cell>
          <cell r="B17" t="str">
            <v>2024-América</v>
          </cell>
          <cell r="C17">
            <v>2024</v>
          </cell>
          <cell r="D17" t="str">
            <v>Pachuca</v>
          </cell>
          <cell r="E17">
            <v>2</v>
          </cell>
          <cell r="F17">
            <v>1</v>
          </cell>
          <cell r="G17" t="str">
            <v>América</v>
          </cell>
          <cell r="H17">
            <v>56.6</v>
          </cell>
          <cell r="I17">
            <v>5.66</v>
          </cell>
          <cell r="J17">
            <v>16.98</v>
          </cell>
          <cell r="K17">
            <v>16.98</v>
          </cell>
          <cell r="L17">
            <v>16.98</v>
          </cell>
          <cell r="M17">
            <v>0.3888888888888889</v>
          </cell>
          <cell r="N17">
            <v>0.33333333333333331</v>
          </cell>
          <cell r="O17">
            <v>0.27777777777777779</v>
          </cell>
          <cell r="P17">
            <v>98</v>
          </cell>
          <cell r="Q17">
            <v>92.45</v>
          </cell>
          <cell r="R17">
            <v>9.25</v>
          </cell>
          <cell r="S17">
            <v>27.73</v>
          </cell>
          <cell r="T17">
            <v>27.73</v>
          </cell>
          <cell r="U17">
            <v>27.73</v>
          </cell>
          <cell r="V17">
            <v>0.375</v>
          </cell>
          <cell r="W17">
            <v>0.29166666666666669</v>
          </cell>
          <cell r="X17">
            <v>0.33333333333333331</v>
          </cell>
          <cell r="Y17">
            <v>133</v>
          </cell>
        </row>
        <row r="18">
          <cell r="A18" t="str">
            <v>2024-León</v>
          </cell>
          <cell r="B18" t="str">
            <v>2024-América</v>
          </cell>
          <cell r="C18">
            <v>2024</v>
          </cell>
          <cell r="D18" t="str">
            <v>León</v>
          </cell>
          <cell r="E18">
            <v>0</v>
          </cell>
          <cell r="F18">
            <v>1</v>
          </cell>
          <cell r="G18" t="str">
            <v>América</v>
          </cell>
          <cell r="H18">
            <v>29.55</v>
          </cell>
          <cell r="I18">
            <v>2.96</v>
          </cell>
          <cell r="J18">
            <v>8.8699999999999992</v>
          </cell>
          <cell r="K18">
            <v>8.8699999999999992</v>
          </cell>
          <cell r="L18">
            <v>8.8699999999999992</v>
          </cell>
          <cell r="M18">
            <v>0.3888888888888889</v>
          </cell>
          <cell r="N18">
            <v>0.3888888888888889</v>
          </cell>
          <cell r="O18">
            <v>0.22222222222222221</v>
          </cell>
          <cell r="P18">
            <v>87</v>
          </cell>
          <cell r="Q18">
            <v>92.45</v>
          </cell>
          <cell r="R18">
            <v>9.25</v>
          </cell>
          <cell r="S18">
            <v>27.73</v>
          </cell>
          <cell r="T18">
            <v>27.73</v>
          </cell>
          <cell r="U18">
            <v>27.73</v>
          </cell>
          <cell r="V18">
            <v>0.375</v>
          </cell>
          <cell r="W18">
            <v>0.29166666666666669</v>
          </cell>
          <cell r="X18">
            <v>0.33333333333333331</v>
          </cell>
          <cell r="Y18">
            <v>133</v>
          </cell>
        </row>
        <row r="19">
          <cell r="A19" t="str">
            <v>2024-América</v>
          </cell>
          <cell r="B19" t="str">
            <v>2024-Monterrey</v>
          </cell>
          <cell r="C19">
            <v>2024</v>
          </cell>
          <cell r="D19" t="str">
            <v>América</v>
          </cell>
          <cell r="E19">
            <v>1</v>
          </cell>
          <cell r="F19">
            <v>1</v>
          </cell>
          <cell r="G19" t="str">
            <v>Monterrey</v>
          </cell>
          <cell r="H19">
            <v>92.45</v>
          </cell>
          <cell r="I19">
            <v>9.25</v>
          </cell>
          <cell r="J19">
            <v>27.73</v>
          </cell>
          <cell r="K19">
            <v>27.73</v>
          </cell>
          <cell r="L19">
            <v>27.73</v>
          </cell>
          <cell r="M19">
            <v>0.65217391304347827</v>
          </cell>
          <cell r="N19">
            <v>0.21739130434782608</v>
          </cell>
          <cell r="O19">
            <v>0.13043478260869565</v>
          </cell>
          <cell r="P19">
            <v>133</v>
          </cell>
          <cell r="Q19">
            <v>88.6</v>
          </cell>
          <cell r="R19">
            <v>8.86</v>
          </cell>
          <cell r="S19">
            <v>26.58</v>
          </cell>
          <cell r="T19">
            <v>26.58</v>
          </cell>
          <cell r="U19">
            <v>26.58</v>
          </cell>
          <cell r="V19">
            <v>0.38095238095238093</v>
          </cell>
          <cell r="W19">
            <v>0.23809523809523808</v>
          </cell>
          <cell r="X19">
            <v>0.38095238095238093</v>
          </cell>
          <cell r="Y19">
            <v>118</v>
          </cell>
        </row>
        <row r="20">
          <cell r="A20" t="str">
            <v>2024-Juarez</v>
          </cell>
          <cell r="B20" t="str">
            <v>2024-América</v>
          </cell>
          <cell r="C20">
            <v>2024</v>
          </cell>
          <cell r="D20" t="str">
            <v>Juarez</v>
          </cell>
          <cell r="E20">
            <v>0</v>
          </cell>
          <cell r="F20">
            <v>2</v>
          </cell>
          <cell r="G20" t="str">
            <v>América</v>
          </cell>
          <cell r="H20" t="str">
            <v>NULL</v>
          </cell>
          <cell r="I20" t="str">
            <v>NULL</v>
          </cell>
          <cell r="J20" t="str">
            <v>NULL</v>
          </cell>
          <cell r="K20" t="str">
            <v>NULL</v>
          </cell>
          <cell r="L20" t="str">
            <v>NULL</v>
          </cell>
          <cell r="M20">
            <v>0.27777777777777779</v>
          </cell>
          <cell r="N20">
            <v>0.33333333333333331</v>
          </cell>
          <cell r="O20">
            <v>0.3888888888888889</v>
          </cell>
          <cell r="P20">
            <v>55</v>
          </cell>
          <cell r="Q20">
            <v>92.45</v>
          </cell>
          <cell r="R20">
            <v>9.25</v>
          </cell>
          <cell r="S20">
            <v>27.73</v>
          </cell>
          <cell r="T20">
            <v>27.73</v>
          </cell>
          <cell r="U20">
            <v>27.73</v>
          </cell>
          <cell r="V20">
            <v>0.375</v>
          </cell>
          <cell r="W20">
            <v>0.29166666666666669</v>
          </cell>
          <cell r="X20">
            <v>0.33333333333333331</v>
          </cell>
          <cell r="Y20">
            <v>133</v>
          </cell>
        </row>
        <row r="21">
          <cell r="A21" t="str">
            <v>2024-América</v>
          </cell>
          <cell r="B21" t="str">
            <v>2024-Querétaro</v>
          </cell>
          <cell r="C21">
            <v>2024</v>
          </cell>
          <cell r="D21" t="str">
            <v>América</v>
          </cell>
          <cell r="E21">
            <v>2</v>
          </cell>
          <cell r="F21">
            <v>0</v>
          </cell>
          <cell r="G21" t="str">
            <v>Querétaro</v>
          </cell>
          <cell r="H21">
            <v>92.45</v>
          </cell>
          <cell r="I21">
            <v>9.25</v>
          </cell>
          <cell r="J21">
            <v>27.73</v>
          </cell>
          <cell r="K21">
            <v>27.73</v>
          </cell>
          <cell r="L21">
            <v>27.73</v>
          </cell>
          <cell r="M21">
            <v>0.65217391304347827</v>
          </cell>
          <cell r="N21">
            <v>0.21739130434782608</v>
          </cell>
          <cell r="O21">
            <v>0.13043478260869565</v>
          </cell>
          <cell r="P21">
            <v>133</v>
          </cell>
          <cell r="Q21" t="str">
            <v>NULL</v>
          </cell>
          <cell r="R21" t="str">
            <v>NULL</v>
          </cell>
          <cell r="S21" t="str">
            <v>NULL</v>
          </cell>
          <cell r="T21" t="str">
            <v>NULL</v>
          </cell>
          <cell r="U21" t="str">
            <v>NULL</v>
          </cell>
          <cell r="V21">
            <v>0.17647058823529413</v>
          </cell>
          <cell r="W21">
            <v>0.17647058823529413</v>
          </cell>
          <cell r="X21">
            <v>0.6470588235294118</v>
          </cell>
          <cell r="Y21">
            <v>64</v>
          </cell>
        </row>
        <row r="22">
          <cell r="A22" t="str">
            <v>2024-Xolos</v>
          </cell>
          <cell r="B22" t="str">
            <v>2024-América</v>
          </cell>
          <cell r="C22">
            <v>2024</v>
          </cell>
          <cell r="D22" t="str">
            <v>Xolos</v>
          </cell>
          <cell r="E22">
            <v>0</v>
          </cell>
          <cell r="F22">
            <v>2</v>
          </cell>
          <cell r="G22" t="str">
            <v>América</v>
          </cell>
          <cell r="H22" t="str">
            <v>NULL</v>
          </cell>
          <cell r="I22" t="str">
            <v>NULL</v>
          </cell>
          <cell r="J22" t="str">
            <v>NULL</v>
          </cell>
          <cell r="K22" t="str">
            <v>NULL</v>
          </cell>
          <cell r="L22" t="str">
            <v>NULL</v>
          </cell>
          <cell r="M22">
            <v>0.55000000000000004</v>
          </cell>
          <cell r="N22">
            <v>0.15</v>
          </cell>
          <cell r="O22">
            <v>0.3</v>
          </cell>
          <cell r="P22">
            <v>49</v>
          </cell>
          <cell r="Q22">
            <v>92.45</v>
          </cell>
          <cell r="R22">
            <v>9.25</v>
          </cell>
          <cell r="S22">
            <v>27.73</v>
          </cell>
          <cell r="T22">
            <v>27.73</v>
          </cell>
          <cell r="U22">
            <v>27.73</v>
          </cell>
          <cell r="V22">
            <v>0.375</v>
          </cell>
          <cell r="W22">
            <v>0.29166666666666669</v>
          </cell>
          <cell r="X22">
            <v>0.33333333333333331</v>
          </cell>
          <cell r="Y22">
            <v>133</v>
          </cell>
        </row>
        <row r="23">
          <cell r="A23" t="str">
            <v>2023-América</v>
          </cell>
          <cell r="B23" t="str">
            <v>2023-Tigres</v>
          </cell>
          <cell r="C23">
            <v>2023</v>
          </cell>
          <cell r="D23" t="str">
            <v>América</v>
          </cell>
          <cell r="E23">
            <v>0</v>
          </cell>
          <cell r="F23">
            <v>0</v>
          </cell>
          <cell r="G23" t="str">
            <v>Tigres</v>
          </cell>
          <cell r="H23">
            <v>84.2</v>
          </cell>
          <cell r="I23">
            <v>8.42</v>
          </cell>
          <cell r="J23">
            <v>25.26</v>
          </cell>
          <cell r="K23">
            <v>25.26</v>
          </cell>
          <cell r="L23">
            <v>25.26</v>
          </cell>
          <cell r="M23">
            <v>0.65217391304347827</v>
          </cell>
          <cell r="N23">
            <v>0.21739130434782608</v>
          </cell>
          <cell r="O23">
            <v>0.13043478260869565</v>
          </cell>
          <cell r="P23">
            <v>133</v>
          </cell>
          <cell r="Q23" t="str">
            <v>NULL</v>
          </cell>
          <cell r="R23" t="str">
            <v>NULL</v>
          </cell>
          <cell r="S23" t="str">
            <v>NULL</v>
          </cell>
          <cell r="T23" t="str">
            <v>NULL</v>
          </cell>
          <cell r="U23" t="str">
            <v>NULL</v>
          </cell>
          <cell r="V23">
            <v>0.3</v>
          </cell>
          <cell r="W23">
            <v>0.3</v>
          </cell>
          <cell r="X23">
            <v>0.4</v>
          </cell>
          <cell r="Y23">
            <v>107</v>
          </cell>
        </row>
        <row r="24">
          <cell r="A24" t="str">
            <v>2023-Tigres</v>
          </cell>
          <cell r="B24" t="str">
            <v>2023-América</v>
          </cell>
          <cell r="C24">
            <v>2023</v>
          </cell>
          <cell r="D24" t="str">
            <v>Tigres</v>
          </cell>
          <cell r="E24">
            <v>1</v>
          </cell>
          <cell r="F24">
            <v>1</v>
          </cell>
          <cell r="G24" t="str">
            <v>América</v>
          </cell>
          <cell r="H24">
            <v>67.599999999999994</v>
          </cell>
          <cell r="I24">
            <v>6.76</v>
          </cell>
          <cell r="J24">
            <v>20.28</v>
          </cell>
          <cell r="K24">
            <v>20.28</v>
          </cell>
          <cell r="L24">
            <v>20.28</v>
          </cell>
          <cell r="M24">
            <v>0.7</v>
          </cell>
          <cell r="N24">
            <v>0.25</v>
          </cell>
          <cell r="O24">
            <v>0.05</v>
          </cell>
          <cell r="P24">
            <v>107</v>
          </cell>
          <cell r="Q24">
            <v>84.2</v>
          </cell>
          <cell r="R24">
            <v>8.42</v>
          </cell>
          <cell r="S24">
            <v>25.26</v>
          </cell>
          <cell r="T24">
            <v>25.26</v>
          </cell>
          <cell r="U24">
            <v>25.26</v>
          </cell>
          <cell r="V24">
            <v>0.375</v>
          </cell>
          <cell r="W24">
            <v>0.29166666666666669</v>
          </cell>
          <cell r="X24">
            <v>0.33333333333333331</v>
          </cell>
          <cell r="Y24">
            <v>133</v>
          </cell>
        </row>
        <row r="25">
          <cell r="A25" t="str">
            <v>2023-América</v>
          </cell>
          <cell r="B25" t="str">
            <v>2023-Atlético San Luis</v>
          </cell>
          <cell r="C25">
            <v>2023</v>
          </cell>
          <cell r="D25" t="str">
            <v>América</v>
          </cell>
          <cell r="E25">
            <v>0</v>
          </cell>
          <cell r="F25">
            <v>2</v>
          </cell>
          <cell r="G25" t="str">
            <v>Atlético San Luis</v>
          </cell>
          <cell r="H25">
            <v>84.2</v>
          </cell>
          <cell r="I25">
            <v>8.42</v>
          </cell>
          <cell r="J25">
            <v>25.26</v>
          </cell>
          <cell r="K25">
            <v>25.26</v>
          </cell>
          <cell r="L25">
            <v>25.26</v>
          </cell>
          <cell r="M25">
            <v>0.65217391304347827</v>
          </cell>
          <cell r="N25">
            <v>0.21739130434782608</v>
          </cell>
          <cell r="O25">
            <v>0.13043478260869565</v>
          </cell>
          <cell r="P25">
            <v>133</v>
          </cell>
          <cell r="Q25">
            <v>35.85</v>
          </cell>
          <cell r="R25">
            <v>3.59</v>
          </cell>
          <cell r="S25">
            <v>10.77</v>
          </cell>
          <cell r="T25">
            <v>10.77</v>
          </cell>
          <cell r="U25">
            <v>10.77</v>
          </cell>
          <cell r="V25">
            <v>0.21052631578947367</v>
          </cell>
          <cell r="W25">
            <v>0.15789473684210525</v>
          </cell>
          <cell r="X25">
            <v>0.63157894736842102</v>
          </cell>
          <cell r="Y25">
            <v>59</v>
          </cell>
        </row>
        <row r="26">
          <cell r="A26" t="str">
            <v>2023-Atlético San Luis</v>
          </cell>
          <cell r="B26" t="str">
            <v>2023-América</v>
          </cell>
          <cell r="C26">
            <v>2023</v>
          </cell>
          <cell r="D26" t="str">
            <v>Atlético San Luis</v>
          </cell>
          <cell r="E26">
            <v>0</v>
          </cell>
          <cell r="F26">
            <v>5</v>
          </cell>
          <cell r="G26" t="str">
            <v>América</v>
          </cell>
          <cell r="H26">
            <v>35.85</v>
          </cell>
          <cell r="I26">
            <v>3.59</v>
          </cell>
          <cell r="J26">
            <v>10.77</v>
          </cell>
          <cell r="K26">
            <v>10.77</v>
          </cell>
          <cell r="L26">
            <v>10.77</v>
          </cell>
          <cell r="M26">
            <v>0.68421052631578949</v>
          </cell>
          <cell r="N26">
            <v>5.2631578947368418E-2</v>
          </cell>
          <cell r="O26">
            <v>0.26315789473684209</v>
          </cell>
          <cell r="P26">
            <v>59</v>
          </cell>
          <cell r="Q26">
            <v>84.2</v>
          </cell>
          <cell r="R26">
            <v>8.42</v>
          </cell>
          <cell r="S26">
            <v>25.26</v>
          </cell>
          <cell r="T26">
            <v>25.26</v>
          </cell>
          <cell r="U26">
            <v>25.26</v>
          </cell>
          <cell r="V26">
            <v>0.375</v>
          </cell>
          <cell r="W26">
            <v>0.29166666666666669</v>
          </cell>
          <cell r="X26">
            <v>0.33333333333333331</v>
          </cell>
          <cell r="Y26">
            <v>133</v>
          </cell>
        </row>
        <row r="27">
          <cell r="A27" t="str">
            <v>2023-América</v>
          </cell>
          <cell r="B27" t="str">
            <v>2023-León</v>
          </cell>
          <cell r="C27">
            <v>2023</v>
          </cell>
          <cell r="D27" t="str">
            <v>América</v>
          </cell>
          <cell r="E27">
            <v>2</v>
          </cell>
          <cell r="F27">
            <v>0</v>
          </cell>
          <cell r="G27" t="str">
            <v>León</v>
          </cell>
          <cell r="H27">
            <v>84.2</v>
          </cell>
          <cell r="I27">
            <v>8.42</v>
          </cell>
          <cell r="J27">
            <v>25.26</v>
          </cell>
          <cell r="K27">
            <v>25.26</v>
          </cell>
          <cell r="L27">
            <v>25.26</v>
          </cell>
          <cell r="M27">
            <v>0.65217391304347827</v>
          </cell>
          <cell r="N27">
            <v>0.21739130434782608</v>
          </cell>
          <cell r="O27">
            <v>0.13043478260869565</v>
          </cell>
          <cell r="P27">
            <v>133</v>
          </cell>
          <cell r="Q27">
            <v>41.5</v>
          </cell>
          <cell r="R27">
            <v>4.1500000000000004</v>
          </cell>
          <cell r="S27">
            <v>12.45</v>
          </cell>
          <cell r="T27">
            <v>12.45</v>
          </cell>
          <cell r="U27">
            <v>12.45</v>
          </cell>
          <cell r="V27">
            <v>0.27777777777777779</v>
          </cell>
          <cell r="W27">
            <v>0.27777777777777779</v>
          </cell>
          <cell r="X27">
            <v>0.44444444444444442</v>
          </cell>
          <cell r="Y27">
            <v>87</v>
          </cell>
        </row>
        <row r="28">
          <cell r="A28" t="str">
            <v>2023-León</v>
          </cell>
          <cell r="B28" t="str">
            <v>2023-América</v>
          </cell>
          <cell r="C28">
            <v>2023</v>
          </cell>
          <cell r="D28" t="str">
            <v>León</v>
          </cell>
          <cell r="E28">
            <v>2</v>
          </cell>
          <cell r="F28">
            <v>2</v>
          </cell>
          <cell r="G28" t="str">
            <v>América</v>
          </cell>
          <cell r="H28">
            <v>41.5</v>
          </cell>
          <cell r="I28">
            <v>4.1500000000000004</v>
          </cell>
          <cell r="J28">
            <v>12.45</v>
          </cell>
          <cell r="K28">
            <v>12.45</v>
          </cell>
          <cell r="L28">
            <v>12.45</v>
          </cell>
          <cell r="M28">
            <v>0.3888888888888889</v>
          </cell>
          <cell r="N28">
            <v>0.3888888888888889</v>
          </cell>
          <cell r="O28">
            <v>0.22222222222222221</v>
          </cell>
          <cell r="P28">
            <v>87</v>
          </cell>
          <cell r="Q28">
            <v>84.2</v>
          </cell>
          <cell r="R28">
            <v>8.42</v>
          </cell>
          <cell r="S28">
            <v>25.26</v>
          </cell>
          <cell r="T28">
            <v>25.26</v>
          </cell>
          <cell r="U28">
            <v>25.26</v>
          </cell>
          <cell r="V28">
            <v>0.375</v>
          </cell>
          <cell r="W28">
            <v>0.29166666666666669</v>
          </cell>
          <cell r="X28">
            <v>0.33333333333333331</v>
          </cell>
          <cell r="Y28">
            <v>133</v>
          </cell>
        </row>
        <row r="29">
          <cell r="A29" t="str">
            <v>2023-Tigres</v>
          </cell>
          <cell r="B29" t="str">
            <v>2023-América</v>
          </cell>
          <cell r="C29">
            <v>2023</v>
          </cell>
          <cell r="D29" t="str">
            <v>Tigres</v>
          </cell>
          <cell r="E29">
            <v>0</v>
          </cell>
          <cell r="F29">
            <v>0</v>
          </cell>
          <cell r="G29" t="str">
            <v>América</v>
          </cell>
          <cell r="H29">
            <v>67.599999999999994</v>
          </cell>
          <cell r="I29">
            <v>6.76</v>
          </cell>
          <cell r="J29">
            <v>20.28</v>
          </cell>
          <cell r="K29">
            <v>20.28</v>
          </cell>
          <cell r="L29">
            <v>20.28</v>
          </cell>
          <cell r="M29">
            <v>0.7</v>
          </cell>
          <cell r="N29">
            <v>0.25</v>
          </cell>
          <cell r="O29">
            <v>0.05</v>
          </cell>
          <cell r="P29">
            <v>107</v>
          </cell>
          <cell r="Q29">
            <v>84.2</v>
          </cell>
          <cell r="R29">
            <v>8.42</v>
          </cell>
          <cell r="S29">
            <v>25.26</v>
          </cell>
          <cell r="T29">
            <v>25.26</v>
          </cell>
          <cell r="U29">
            <v>25.26</v>
          </cell>
          <cell r="V29">
            <v>0.375</v>
          </cell>
          <cell r="W29">
            <v>0.29166666666666669</v>
          </cell>
          <cell r="X29">
            <v>0.33333333333333331</v>
          </cell>
          <cell r="Y29">
            <v>133</v>
          </cell>
        </row>
        <row r="30">
          <cell r="A30" t="str">
            <v>2023-América</v>
          </cell>
          <cell r="B30" t="str">
            <v>2023-Xolos</v>
          </cell>
          <cell r="C30">
            <v>2023</v>
          </cell>
          <cell r="D30" t="str">
            <v>América</v>
          </cell>
          <cell r="E30">
            <v>3</v>
          </cell>
          <cell r="F30">
            <v>0</v>
          </cell>
          <cell r="G30" t="str">
            <v>Xolos</v>
          </cell>
          <cell r="H30">
            <v>84.2</v>
          </cell>
          <cell r="I30">
            <v>8.42</v>
          </cell>
          <cell r="J30">
            <v>25.26</v>
          </cell>
          <cell r="K30">
            <v>25.26</v>
          </cell>
          <cell r="L30">
            <v>25.26</v>
          </cell>
          <cell r="M30">
            <v>0.65217391304347827</v>
          </cell>
          <cell r="N30">
            <v>0.21739130434782608</v>
          </cell>
          <cell r="O30">
            <v>0.13043478260869565</v>
          </cell>
          <cell r="P30">
            <v>133</v>
          </cell>
          <cell r="Q30" t="str">
            <v>NULL</v>
          </cell>
          <cell r="R30" t="str">
            <v>NULL</v>
          </cell>
          <cell r="S30" t="str">
            <v>NULL</v>
          </cell>
          <cell r="T30" t="str">
            <v>NULL</v>
          </cell>
          <cell r="U30" t="str">
            <v>NULL</v>
          </cell>
          <cell r="V30">
            <v>0.27777777777777779</v>
          </cell>
          <cell r="W30">
            <v>0.22222222222222221</v>
          </cell>
          <cell r="X30">
            <v>0.5</v>
          </cell>
          <cell r="Y30">
            <v>49</v>
          </cell>
        </row>
        <row r="31">
          <cell r="A31" t="str">
            <v>2023-Atlético San Luis</v>
          </cell>
          <cell r="B31" t="str">
            <v>2023-América</v>
          </cell>
          <cell r="C31">
            <v>2023</v>
          </cell>
          <cell r="D31" t="str">
            <v>Atlético San Luis</v>
          </cell>
          <cell r="E31">
            <v>0</v>
          </cell>
          <cell r="F31">
            <v>1</v>
          </cell>
          <cell r="G31" t="str">
            <v>América</v>
          </cell>
          <cell r="H31">
            <v>35.85</v>
          </cell>
          <cell r="I31">
            <v>3.59</v>
          </cell>
          <cell r="J31">
            <v>10.77</v>
          </cell>
          <cell r="K31">
            <v>10.77</v>
          </cell>
          <cell r="L31">
            <v>10.77</v>
          </cell>
          <cell r="M31">
            <v>0.68421052631578949</v>
          </cell>
          <cell r="N31">
            <v>5.2631578947368418E-2</v>
          </cell>
          <cell r="O31">
            <v>0.26315789473684209</v>
          </cell>
          <cell r="P31">
            <v>59</v>
          </cell>
          <cell r="Q31">
            <v>84.2</v>
          </cell>
          <cell r="R31">
            <v>8.42</v>
          </cell>
          <cell r="S31">
            <v>25.26</v>
          </cell>
          <cell r="T31">
            <v>25.26</v>
          </cell>
          <cell r="U31">
            <v>25.26</v>
          </cell>
          <cell r="V31">
            <v>0.375</v>
          </cell>
          <cell r="W31">
            <v>0.29166666666666669</v>
          </cell>
          <cell r="X31">
            <v>0.33333333333333331</v>
          </cell>
          <cell r="Y31">
            <v>133</v>
          </cell>
        </row>
        <row r="32">
          <cell r="A32" t="str">
            <v>2023-América</v>
          </cell>
          <cell r="B32" t="str">
            <v>2023-Santos Laguna</v>
          </cell>
          <cell r="C32">
            <v>2023</v>
          </cell>
          <cell r="D32" t="str">
            <v>América</v>
          </cell>
          <cell r="E32">
            <v>4</v>
          </cell>
          <cell r="F32">
            <v>3</v>
          </cell>
          <cell r="G32" t="str">
            <v>Santos Laguna</v>
          </cell>
          <cell r="H32">
            <v>84.2</v>
          </cell>
          <cell r="I32">
            <v>8.42</v>
          </cell>
          <cell r="J32">
            <v>25.26</v>
          </cell>
          <cell r="K32">
            <v>25.26</v>
          </cell>
          <cell r="L32">
            <v>25.26</v>
          </cell>
          <cell r="M32">
            <v>0.65217391304347827</v>
          </cell>
          <cell r="N32">
            <v>0.21739130434782608</v>
          </cell>
          <cell r="O32">
            <v>0.13043478260869565</v>
          </cell>
          <cell r="P32">
            <v>133</v>
          </cell>
          <cell r="Q32" t="str">
            <v>NULL</v>
          </cell>
          <cell r="R32" t="str">
            <v>NULL</v>
          </cell>
          <cell r="S32" t="str">
            <v>NULL</v>
          </cell>
          <cell r="T32" t="str">
            <v>NULL</v>
          </cell>
          <cell r="U32" t="str">
            <v>NULL</v>
          </cell>
          <cell r="V32">
            <v>0</v>
          </cell>
          <cell r="W32">
            <v>0.11764705882352941</v>
          </cell>
          <cell r="X32">
            <v>0.88235294117647056</v>
          </cell>
          <cell r="Y32">
            <v>46</v>
          </cell>
        </row>
        <row r="33">
          <cell r="A33" t="str">
            <v>2023-Mazatlán</v>
          </cell>
          <cell r="B33" t="str">
            <v>2023-América</v>
          </cell>
          <cell r="C33">
            <v>2023</v>
          </cell>
          <cell r="D33" t="str">
            <v>Mazatlán</v>
          </cell>
          <cell r="E33">
            <v>1</v>
          </cell>
          <cell r="F33">
            <v>2</v>
          </cell>
          <cell r="G33" t="str">
            <v>América</v>
          </cell>
          <cell r="H33">
            <v>35.049999999999997</v>
          </cell>
          <cell r="I33">
            <v>3.5</v>
          </cell>
          <cell r="J33">
            <v>10.51</v>
          </cell>
          <cell r="K33">
            <v>10.51</v>
          </cell>
          <cell r="L33">
            <v>10.51</v>
          </cell>
          <cell r="M33">
            <v>0.29411764705882354</v>
          </cell>
          <cell r="N33">
            <v>0.47058823529411764</v>
          </cell>
          <cell r="O33">
            <v>0.23529411764705882</v>
          </cell>
          <cell r="P33">
            <v>40</v>
          </cell>
          <cell r="Q33">
            <v>84.2</v>
          </cell>
          <cell r="R33">
            <v>8.42</v>
          </cell>
          <cell r="S33">
            <v>25.26</v>
          </cell>
          <cell r="T33">
            <v>25.26</v>
          </cell>
          <cell r="U33">
            <v>25.26</v>
          </cell>
          <cell r="V33">
            <v>0.375</v>
          </cell>
          <cell r="W33">
            <v>0.29166666666666669</v>
          </cell>
          <cell r="X33">
            <v>0.33333333333333331</v>
          </cell>
          <cell r="Y33">
            <v>133</v>
          </cell>
        </row>
        <row r="34">
          <cell r="A34" t="str">
            <v>2023-América</v>
          </cell>
          <cell r="B34" t="str">
            <v>2023-Pachuca</v>
          </cell>
          <cell r="C34">
            <v>2023</v>
          </cell>
          <cell r="D34" t="str">
            <v>América</v>
          </cell>
          <cell r="E34">
            <v>4</v>
          </cell>
          <cell r="F34">
            <v>0</v>
          </cell>
          <cell r="G34" t="str">
            <v>Pachuca</v>
          </cell>
          <cell r="H34">
            <v>84.2</v>
          </cell>
          <cell r="I34">
            <v>8.42</v>
          </cell>
          <cell r="J34">
            <v>25.26</v>
          </cell>
          <cell r="K34">
            <v>25.26</v>
          </cell>
          <cell r="L34">
            <v>25.26</v>
          </cell>
          <cell r="M34">
            <v>0.65217391304347827</v>
          </cell>
          <cell r="N34">
            <v>0.21739130434782608</v>
          </cell>
          <cell r="O34">
            <v>0.13043478260869565</v>
          </cell>
          <cell r="P34">
            <v>133</v>
          </cell>
          <cell r="Q34">
            <v>51.25</v>
          </cell>
          <cell r="R34">
            <v>5.13</v>
          </cell>
          <cell r="S34">
            <v>15.38</v>
          </cell>
          <cell r="T34">
            <v>15.38</v>
          </cell>
          <cell r="U34">
            <v>15.38</v>
          </cell>
          <cell r="V34">
            <v>0.26315789473684209</v>
          </cell>
          <cell r="W34">
            <v>0.15789473684210525</v>
          </cell>
          <cell r="X34">
            <v>0.57894736842105265</v>
          </cell>
          <cell r="Y34">
            <v>98</v>
          </cell>
        </row>
        <row r="35">
          <cell r="A35" t="str">
            <v>2023-América</v>
          </cell>
          <cell r="B35" t="str">
            <v>2023-Pumas</v>
          </cell>
          <cell r="C35">
            <v>2023</v>
          </cell>
          <cell r="D35" t="str">
            <v>América</v>
          </cell>
          <cell r="E35">
            <v>1</v>
          </cell>
          <cell r="F35">
            <v>0</v>
          </cell>
          <cell r="G35" t="str">
            <v>Pumas</v>
          </cell>
          <cell r="H35">
            <v>84.2</v>
          </cell>
          <cell r="I35">
            <v>8.42</v>
          </cell>
          <cell r="J35">
            <v>25.26</v>
          </cell>
          <cell r="K35">
            <v>25.26</v>
          </cell>
          <cell r="L35">
            <v>25.26</v>
          </cell>
          <cell r="M35">
            <v>0.65217391304347827</v>
          </cell>
          <cell r="N35">
            <v>0.21739130434782608</v>
          </cell>
          <cell r="O35">
            <v>0.13043478260869565</v>
          </cell>
          <cell r="P35">
            <v>133</v>
          </cell>
          <cell r="Q35" t="str">
            <v>NULL</v>
          </cell>
          <cell r="R35" t="str">
            <v>NULL</v>
          </cell>
          <cell r="S35" t="str">
            <v>NULL</v>
          </cell>
          <cell r="T35" t="str">
            <v>NULL</v>
          </cell>
          <cell r="U35" t="str">
            <v>NULL</v>
          </cell>
          <cell r="V35">
            <v>0.3</v>
          </cell>
          <cell r="W35">
            <v>0.25</v>
          </cell>
          <cell r="X35">
            <v>0.45</v>
          </cell>
          <cell r="Y35">
            <v>75</v>
          </cell>
        </row>
        <row r="36">
          <cell r="A36" t="str">
            <v>2023-Querétaro</v>
          </cell>
          <cell r="B36" t="str">
            <v>2023-América</v>
          </cell>
          <cell r="C36">
            <v>2023</v>
          </cell>
          <cell r="D36" t="str">
            <v>Querétaro</v>
          </cell>
          <cell r="E36">
            <v>1</v>
          </cell>
          <cell r="F36">
            <v>2</v>
          </cell>
          <cell r="G36" t="str">
            <v>América</v>
          </cell>
          <cell r="H36">
            <v>21.45</v>
          </cell>
          <cell r="I36">
            <v>2.14</v>
          </cell>
          <cell r="J36">
            <v>6.44</v>
          </cell>
          <cell r="K36">
            <v>6.44</v>
          </cell>
          <cell r="L36">
            <v>6.44</v>
          </cell>
          <cell r="M36">
            <v>0.35294117647058826</v>
          </cell>
          <cell r="N36">
            <v>0.11764705882352941</v>
          </cell>
          <cell r="O36">
            <v>0.52941176470588236</v>
          </cell>
          <cell r="P36">
            <v>64</v>
          </cell>
          <cell r="Q36">
            <v>84.2</v>
          </cell>
          <cell r="R36">
            <v>8.42</v>
          </cell>
          <cell r="S36">
            <v>25.26</v>
          </cell>
          <cell r="T36">
            <v>25.26</v>
          </cell>
          <cell r="U36">
            <v>25.26</v>
          </cell>
          <cell r="V36">
            <v>0.375</v>
          </cell>
          <cell r="W36">
            <v>0.29166666666666669</v>
          </cell>
          <cell r="X36">
            <v>0.33333333333333331</v>
          </cell>
          <cell r="Y36">
            <v>133</v>
          </cell>
        </row>
        <row r="37">
          <cell r="A37" t="str">
            <v>2023-América</v>
          </cell>
          <cell r="B37" t="str">
            <v>2023-Chivas</v>
          </cell>
          <cell r="C37">
            <v>2023</v>
          </cell>
          <cell r="D37" t="str">
            <v>América</v>
          </cell>
          <cell r="E37">
            <v>4</v>
          </cell>
          <cell r="F37">
            <v>0</v>
          </cell>
          <cell r="G37" t="str">
            <v>Chivas</v>
          </cell>
          <cell r="H37">
            <v>84.2</v>
          </cell>
          <cell r="I37">
            <v>8.42</v>
          </cell>
          <cell r="J37">
            <v>25.26</v>
          </cell>
          <cell r="K37">
            <v>25.26</v>
          </cell>
          <cell r="L37">
            <v>25.26</v>
          </cell>
          <cell r="M37">
            <v>0.65217391304347827</v>
          </cell>
          <cell r="N37">
            <v>0.21739130434782608</v>
          </cell>
          <cell r="O37">
            <v>0.13043478260869565</v>
          </cell>
          <cell r="P37">
            <v>133</v>
          </cell>
          <cell r="Q37" t="str">
            <v>NULL</v>
          </cell>
          <cell r="R37" t="str">
            <v>NULL</v>
          </cell>
          <cell r="S37" t="str">
            <v>NULL</v>
          </cell>
          <cell r="T37" t="str">
            <v>NULL</v>
          </cell>
          <cell r="U37" t="str">
            <v>NULL</v>
          </cell>
          <cell r="V37">
            <v>0.23529411764705882</v>
          </cell>
          <cell r="W37">
            <v>0.23529411764705882</v>
          </cell>
          <cell r="X37">
            <v>0.52941176470588236</v>
          </cell>
          <cell r="Y37">
            <v>99</v>
          </cell>
        </row>
        <row r="38">
          <cell r="A38" t="str">
            <v>2023-América</v>
          </cell>
          <cell r="B38" t="str">
            <v>2023-Necaxa</v>
          </cell>
          <cell r="C38">
            <v>2023</v>
          </cell>
          <cell r="D38" t="str">
            <v>América</v>
          </cell>
          <cell r="E38">
            <v>3</v>
          </cell>
          <cell r="F38">
            <v>2</v>
          </cell>
          <cell r="G38" t="str">
            <v>Necaxa</v>
          </cell>
          <cell r="H38">
            <v>84.2</v>
          </cell>
          <cell r="I38">
            <v>8.42</v>
          </cell>
          <cell r="J38">
            <v>25.26</v>
          </cell>
          <cell r="K38">
            <v>25.26</v>
          </cell>
          <cell r="L38">
            <v>25.26</v>
          </cell>
          <cell r="M38">
            <v>0.65217391304347827</v>
          </cell>
          <cell r="N38">
            <v>0.21739130434782608</v>
          </cell>
          <cell r="O38">
            <v>0.13043478260869565</v>
          </cell>
          <cell r="P38">
            <v>133</v>
          </cell>
          <cell r="Q38">
            <v>40</v>
          </cell>
          <cell r="R38">
            <v>4</v>
          </cell>
          <cell r="S38">
            <v>12</v>
          </cell>
          <cell r="T38">
            <v>12</v>
          </cell>
          <cell r="U38">
            <v>12</v>
          </cell>
          <cell r="V38">
            <v>0.27777777777777779</v>
          </cell>
          <cell r="W38">
            <v>0.27777777777777779</v>
          </cell>
          <cell r="X38">
            <v>0.44444444444444442</v>
          </cell>
          <cell r="Y38">
            <v>77</v>
          </cell>
        </row>
        <row r="39">
          <cell r="A39" t="str">
            <v>2023-América</v>
          </cell>
          <cell r="B39" t="str">
            <v>2023-Atlas</v>
          </cell>
          <cell r="C39">
            <v>2023</v>
          </cell>
          <cell r="D39" t="str">
            <v>América</v>
          </cell>
          <cell r="E39">
            <v>1</v>
          </cell>
          <cell r="F39">
            <v>1</v>
          </cell>
          <cell r="G39" t="str">
            <v>Atlas</v>
          </cell>
          <cell r="H39">
            <v>84.2</v>
          </cell>
          <cell r="I39">
            <v>8.42</v>
          </cell>
          <cell r="J39">
            <v>25.26</v>
          </cell>
          <cell r="K39">
            <v>25.26</v>
          </cell>
          <cell r="L39">
            <v>25.26</v>
          </cell>
          <cell r="M39">
            <v>0.65217391304347827</v>
          </cell>
          <cell r="N39">
            <v>0.21739130434782608</v>
          </cell>
          <cell r="O39">
            <v>0.13043478260869565</v>
          </cell>
          <cell r="P39">
            <v>133</v>
          </cell>
          <cell r="Q39">
            <v>30.7</v>
          </cell>
          <cell r="R39">
            <v>3.07</v>
          </cell>
          <cell r="S39">
            <v>9.2100000000000009</v>
          </cell>
          <cell r="T39">
            <v>9.2100000000000009</v>
          </cell>
          <cell r="U39">
            <v>9.2100000000000009</v>
          </cell>
          <cell r="V39">
            <v>0.26315789473684209</v>
          </cell>
          <cell r="W39">
            <v>0.31578947368421051</v>
          </cell>
          <cell r="X39">
            <v>0.42105263157894735</v>
          </cell>
          <cell r="Y39">
            <v>60</v>
          </cell>
        </row>
        <row r="40">
          <cell r="A40" t="str">
            <v>2023-América</v>
          </cell>
          <cell r="B40" t="str">
            <v>2023-Puebla</v>
          </cell>
          <cell r="C40">
            <v>2023</v>
          </cell>
          <cell r="D40" t="str">
            <v>América</v>
          </cell>
          <cell r="E40">
            <v>3</v>
          </cell>
          <cell r="F40">
            <v>0</v>
          </cell>
          <cell r="G40" t="str">
            <v>Puebla</v>
          </cell>
          <cell r="H40">
            <v>84.2</v>
          </cell>
          <cell r="I40">
            <v>8.42</v>
          </cell>
          <cell r="J40">
            <v>25.26</v>
          </cell>
          <cell r="K40">
            <v>25.26</v>
          </cell>
          <cell r="L40">
            <v>25.26</v>
          </cell>
          <cell r="M40">
            <v>0.65217391304347827</v>
          </cell>
          <cell r="N40">
            <v>0.21739130434782608</v>
          </cell>
          <cell r="O40">
            <v>0.13043478260869565</v>
          </cell>
          <cell r="P40">
            <v>133</v>
          </cell>
          <cell r="Q40">
            <v>26.7</v>
          </cell>
          <cell r="R40">
            <v>2.67</v>
          </cell>
          <cell r="S40">
            <v>8.01</v>
          </cell>
          <cell r="T40">
            <v>8.01</v>
          </cell>
          <cell r="U40">
            <v>8.01</v>
          </cell>
          <cell r="V40">
            <v>0.11764705882352941</v>
          </cell>
          <cell r="W40">
            <v>0.17647058823529413</v>
          </cell>
          <cell r="X40">
            <v>0.70588235294117652</v>
          </cell>
          <cell r="Y40">
            <v>34</v>
          </cell>
        </row>
        <row r="41">
          <cell r="A41" t="str">
            <v>2023-América</v>
          </cell>
          <cell r="B41" t="str">
            <v>2023-Juarez</v>
          </cell>
          <cell r="C41">
            <v>2023</v>
          </cell>
          <cell r="D41" t="str">
            <v>América</v>
          </cell>
          <cell r="E41">
            <v>1</v>
          </cell>
          <cell r="F41">
            <v>2</v>
          </cell>
          <cell r="G41" t="str">
            <v>Juarez</v>
          </cell>
          <cell r="H41">
            <v>84.2</v>
          </cell>
          <cell r="I41">
            <v>8.42</v>
          </cell>
          <cell r="J41">
            <v>25.26</v>
          </cell>
          <cell r="K41">
            <v>25.26</v>
          </cell>
          <cell r="L41">
            <v>25.26</v>
          </cell>
          <cell r="M41">
            <v>0.65217391304347827</v>
          </cell>
          <cell r="N41">
            <v>0.21739130434782608</v>
          </cell>
          <cell r="O41">
            <v>0.13043478260869565</v>
          </cell>
          <cell r="P41">
            <v>133</v>
          </cell>
          <cell r="Q41" t="str">
            <v>NULL</v>
          </cell>
          <cell r="R41" t="str">
            <v>NULL</v>
          </cell>
          <cell r="S41" t="str">
            <v>NULL</v>
          </cell>
          <cell r="T41" t="str">
            <v>NULL</v>
          </cell>
          <cell r="U41" t="str">
            <v>NULL</v>
          </cell>
          <cell r="V41">
            <v>0.35294117647058826</v>
          </cell>
          <cell r="W41">
            <v>0.17647058823529413</v>
          </cell>
          <cell r="X41">
            <v>0.47058823529411764</v>
          </cell>
          <cell r="Y41">
            <v>55</v>
          </cell>
        </row>
        <row r="42">
          <cell r="A42" t="str">
            <v>2024-Atlas</v>
          </cell>
          <cell r="B42" t="str">
            <v>2024-Chivas</v>
          </cell>
          <cell r="C42">
            <v>2024</v>
          </cell>
          <cell r="D42" t="str">
            <v>Atlas</v>
          </cell>
          <cell r="E42">
            <v>0</v>
          </cell>
          <cell r="F42">
            <v>1</v>
          </cell>
          <cell r="G42" t="str">
            <v>Chivas</v>
          </cell>
          <cell r="H42">
            <v>28.95</v>
          </cell>
          <cell r="I42">
            <v>2.9</v>
          </cell>
          <cell r="J42">
            <v>8.68</v>
          </cell>
          <cell r="K42">
            <v>8.68</v>
          </cell>
          <cell r="L42">
            <v>8.68</v>
          </cell>
          <cell r="M42" t="str">
            <v>NULL</v>
          </cell>
          <cell r="N42" t="str">
            <v>NULL</v>
          </cell>
          <cell r="O42" t="str">
            <v>NULL</v>
          </cell>
          <cell r="P42">
            <v>60</v>
          </cell>
          <cell r="Q42" t="str">
            <v>NULL</v>
          </cell>
          <cell r="R42" t="str">
            <v>NULL</v>
          </cell>
          <cell r="S42" t="str">
            <v>NULL</v>
          </cell>
          <cell r="T42" t="str">
            <v>NULL</v>
          </cell>
          <cell r="U42" t="str">
            <v>NULL</v>
          </cell>
          <cell r="V42">
            <v>0.23529411764705882</v>
          </cell>
          <cell r="W42">
            <v>0.23529411764705882</v>
          </cell>
          <cell r="X42">
            <v>0.52941176470588236</v>
          </cell>
          <cell r="Y42">
            <v>99</v>
          </cell>
        </row>
        <row r="43">
          <cell r="A43" t="str">
            <v>2024-Cruz Azul</v>
          </cell>
          <cell r="B43" t="str">
            <v>2024-Atlas</v>
          </cell>
          <cell r="C43">
            <v>2024</v>
          </cell>
          <cell r="D43" t="str">
            <v>Cruz Azul</v>
          </cell>
          <cell r="E43">
            <v>2</v>
          </cell>
          <cell r="F43">
            <v>2</v>
          </cell>
          <cell r="G43" t="str">
            <v>Atlas</v>
          </cell>
          <cell r="H43">
            <v>78.849999999999994</v>
          </cell>
          <cell r="I43">
            <v>7.89</v>
          </cell>
          <cell r="J43">
            <v>23.66</v>
          </cell>
          <cell r="K43">
            <v>23.66</v>
          </cell>
          <cell r="L43">
            <v>23.66</v>
          </cell>
          <cell r="M43">
            <v>0.7142857142857143</v>
          </cell>
          <cell r="N43">
            <v>0.23809523809523808</v>
          </cell>
          <cell r="O43">
            <v>4.7619047619047616E-2</v>
          </cell>
          <cell r="P43">
            <v>107</v>
          </cell>
          <cell r="Q43">
            <v>28.95</v>
          </cell>
          <cell r="R43">
            <v>2.9</v>
          </cell>
          <cell r="S43">
            <v>8.68</v>
          </cell>
          <cell r="T43">
            <v>8.68</v>
          </cell>
          <cell r="U43">
            <v>8.68</v>
          </cell>
          <cell r="V43">
            <v>0.26315789473684209</v>
          </cell>
          <cell r="W43">
            <v>0.31578947368421051</v>
          </cell>
          <cell r="X43">
            <v>0.42105263157894735</v>
          </cell>
          <cell r="Y43">
            <v>60</v>
          </cell>
        </row>
        <row r="44">
          <cell r="A44" t="str">
            <v>2024-Atlas</v>
          </cell>
          <cell r="B44" t="str">
            <v>2024-Atlético San Luis</v>
          </cell>
          <cell r="C44">
            <v>2024</v>
          </cell>
          <cell r="D44" t="str">
            <v>Atlas</v>
          </cell>
          <cell r="E44">
            <v>2</v>
          </cell>
          <cell r="F44">
            <v>1</v>
          </cell>
          <cell r="G44" t="str">
            <v>Atlético San Luis</v>
          </cell>
          <cell r="H44">
            <v>28.95</v>
          </cell>
          <cell r="I44">
            <v>2.9</v>
          </cell>
          <cell r="J44">
            <v>8.68</v>
          </cell>
          <cell r="K44">
            <v>8.68</v>
          </cell>
          <cell r="L44">
            <v>8.68</v>
          </cell>
          <cell r="M44" t="str">
            <v>NULL</v>
          </cell>
          <cell r="N44" t="str">
            <v>NULL</v>
          </cell>
          <cell r="O44" t="str">
            <v>NULL</v>
          </cell>
          <cell r="P44">
            <v>60</v>
          </cell>
          <cell r="Q44">
            <v>45.95</v>
          </cell>
          <cell r="R44">
            <v>4.5999999999999996</v>
          </cell>
          <cell r="S44">
            <v>13.84</v>
          </cell>
          <cell r="T44">
            <v>13.84</v>
          </cell>
          <cell r="U44">
            <v>13.84</v>
          </cell>
          <cell r="V44">
            <v>0.21052631578947367</v>
          </cell>
          <cell r="W44">
            <v>0.15789473684210525</v>
          </cell>
          <cell r="X44">
            <v>0.63157894736842102</v>
          </cell>
          <cell r="Y44">
            <v>59</v>
          </cell>
        </row>
        <row r="45">
          <cell r="A45" t="str">
            <v>2024-Toluca</v>
          </cell>
          <cell r="B45" t="str">
            <v>2024-Atlas</v>
          </cell>
          <cell r="C45">
            <v>2024</v>
          </cell>
          <cell r="D45" t="str">
            <v>Toluca</v>
          </cell>
          <cell r="E45">
            <v>4</v>
          </cell>
          <cell r="F45">
            <v>1</v>
          </cell>
          <cell r="G45" t="str">
            <v>Atlas</v>
          </cell>
          <cell r="H45">
            <v>77.45</v>
          </cell>
          <cell r="I45">
            <v>7.75</v>
          </cell>
          <cell r="J45">
            <v>23.24</v>
          </cell>
          <cell r="K45">
            <v>23.24</v>
          </cell>
          <cell r="L45">
            <v>23.24</v>
          </cell>
          <cell r="M45">
            <v>0.76190476190476186</v>
          </cell>
          <cell r="N45">
            <v>0.19047619047619047</v>
          </cell>
          <cell r="O45">
            <v>4.7619047619047616E-2</v>
          </cell>
          <cell r="P45">
            <v>118</v>
          </cell>
          <cell r="Q45">
            <v>28.95</v>
          </cell>
          <cell r="R45">
            <v>2.9</v>
          </cell>
          <cell r="S45">
            <v>8.68</v>
          </cell>
          <cell r="T45">
            <v>8.68</v>
          </cell>
          <cell r="U45">
            <v>8.68</v>
          </cell>
          <cell r="V45">
            <v>0.26315789473684209</v>
          </cell>
          <cell r="W45">
            <v>0.31578947368421051</v>
          </cell>
          <cell r="X45">
            <v>0.42105263157894735</v>
          </cell>
          <cell r="Y45">
            <v>60</v>
          </cell>
        </row>
        <row r="46">
          <cell r="A46" t="str">
            <v>2024-Puebla</v>
          </cell>
          <cell r="B46" t="str">
            <v>2024-Atlas</v>
          </cell>
          <cell r="C46">
            <v>2024</v>
          </cell>
          <cell r="D46" t="str">
            <v>Puebla</v>
          </cell>
          <cell r="E46">
            <v>2</v>
          </cell>
          <cell r="F46">
            <v>2</v>
          </cell>
          <cell r="G46" t="str">
            <v>Atlas</v>
          </cell>
          <cell r="H46">
            <v>24.1</v>
          </cell>
          <cell r="I46">
            <v>2.41</v>
          </cell>
          <cell r="J46">
            <v>7.23</v>
          </cell>
          <cell r="K46">
            <v>7.23</v>
          </cell>
          <cell r="L46">
            <v>7.23</v>
          </cell>
          <cell r="M46">
            <v>0.23529411764705882</v>
          </cell>
          <cell r="N46">
            <v>0.11764705882352941</v>
          </cell>
          <cell r="O46">
            <v>0.6470588235294118</v>
          </cell>
          <cell r="P46">
            <v>34</v>
          </cell>
          <cell r="Q46">
            <v>28.95</v>
          </cell>
          <cell r="R46">
            <v>2.9</v>
          </cell>
          <cell r="S46">
            <v>8.68</v>
          </cell>
          <cell r="T46">
            <v>8.68</v>
          </cell>
          <cell r="U46">
            <v>8.68</v>
          </cell>
          <cell r="V46">
            <v>0.26315789473684209</v>
          </cell>
          <cell r="W46">
            <v>0.31578947368421051</v>
          </cell>
          <cell r="X46">
            <v>0.42105263157894735</v>
          </cell>
          <cell r="Y46">
            <v>60</v>
          </cell>
        </row>
        <row r="47">
          <cell r="A47" t="str">
            <v>2024-Tigres</v>
          </cell>
          <cell r="B47" t="str">
            <v>2024-Atlas</v>
          </cell>
          <cell r="C47">
            <v>2024</v>
          </cell>
          <cell r="D47" t="str">
            <v>Tigres</v>
          </cell>
          <cell r="E47">
            <v>1</v>
          </cell>
          <cell r="F47">
            <v>1</v>
          </cell>
          <cell r="G47" t="str">
            <v>Atlas</v>
          </cell>
          <cell r="H47">
            <v>67</v>
          </cell>
          <cell r="I47">
            <v>6.7</v>
          </cell>
          <cell r="J47">
            <v>20.100000000000001</v>
          </cell>
          <cell r="K47">
            <v>20.100000000000001</v>
          </cell>
          <cell r="L47">
            <v>20.100000000000001</v>
          </cell>
          <cell r="M47">
            <v>0.7</v>
          </cell>
          <cell r="N47">
            <v>0.25</v>
          </cell>
          <cell r="O47">
            <v>0.05</v>
          </cell>
          <cell r="P47">
            <v>107</v>
          </cell>
          <cell r="Q47">
            <v>28.95</v>
          </cell>
          <cell r="R47">
            <v>2.9</v>
          </cell>
          <cell r="S47">
            <v>8.68</v>
          </cell>
          <cell r="T47">
            <v>8.68</v>
          </cell>
          <cell r="U47">
            <v>8.68</v>
          </cell>
          <cell r="V47">
            <v>0.26315789473684209</v>
          </cell>
          <cell r="W47">
            <v>0.31578947368421051</v>
          </cell>
          <cell r="X47">
            <v>0.42105263157894735</v>
          </cell>
          <cell r="Y47">
            <v>60</v>
          </cell>
        </row>
        <row r="48">
          <cell r="A48" t="str">
            <v>2024-Atlas</v>
          </cell>
          <cell r="B48" t="str">
            <v>2024-León</v>
          </cell>
          <cell r="C48">
            <v>2024</v>
          </cell>
          <cell r="D48" t="str">
            <v>Atlas</v>
          </cell>
          <cell r="E48">
            <v>0</v>
          </cell>
          <cell r="F48">
            <v>1</v>
          </cell>
          <cell r="G48" t="str">
            <v>León</v>
          </cell>
          <cell r="H48">
            <v>28.95</v>
          </cell>
          <cell r="I48">
            <v>2.9</v>
          </cell>
          <cell r="J48">
            <v>8.68</v>
          </cell>
          <cell r="K48">
            <v>8.68</v>
          </cell>
          <cell r="L48">
            <v>8.68</v>
          </cell>
          <cell r="M48" t="str">
            <v>NULL</v>
          </cell>
          <cell r="N48" t="str">
            <v>NULL</v>
          </cell>
          <cell r="O48" t="str">
            <v>NULL</v>
          </cell>
          <cell r="P48">
            <v>60</v>
          </cell>
          <cell r="Q48">
            <v>29.55</v>
          </cell>
          <cell r="R48">
            <v>2.96</v>
          </cell>
          <cell r="S48">
            <v>8.8699999999999992</v>
          </cell>
          <cell r="T48">
            <v>8.8699999999999992</v>
          </cell>
          <cell r="U48">
            <v>8.8699999999999992</v>
          </cell>
          <cell r="V48">
            <v>0.27777777777777779</v>
          </cell>
          <cell r="W48">
            <v>0.27777777777777779</v>
          </cell>
          <cell r="X48">
            <v>0.44444444444444442</v>
          </cell>
          <cell r="Y48">
            <v>87</v>
          </cell>
        </row>
        <row r="49">
          <cell r="A49" t="str">
            <v>2024-Atlas</v>
          </cell>
          <cell r="B49" t="str">
            <v>2024-Pumas</v>
          </cell>
          <cell r="C49">
            <v>2024</v>
          </cell>
          <cell r="D49" t="str">
            <v>Atlas</v>
          </cell>
          <cell r="E49">
            <v>0</v>
          </cell>
          <cell r="F49">
            <v>0</v>
          </cell>
          <cell r="G49" t="str">
            <v>Pumas</v>
          </cell>
          <cell r="H49">
            <v>28.95</v>
          </cell>
          <cell r="I49">
            <v>2.9</v>
          </cell>
          <cell r="J49">
            <v>8.68</v>
          </cell>
          <cell r="K49">
            <v>8.68</v>
          </cell>
          <cell r="L49">
            <v>8.68</v>
          </cell>
          <cell r="M49" t="str">
            <v>NULL</v>
          </cell>
          <cell r="N49" t="str">
            <v>NULL</v>
          </cell>
          <cell r="O49" t="str">
            <v>NULL</v>
          </cell>
          <cell r="P49">
            <v>60</v>
          </cell>
          <cell r="Q49">
            <v>47.6</v>
          </cell>
          <cell r="R49">
            <v>4.76</v>
          </cell>
          <cell r="S49">
            <v>14.28</v>
          </cell>
          <cell r="T49">
            <v>14.28</v>
          </cell>
          <cell r="U49">
            <v>14.28</v>
          </cell>
          <cell r="V49">
            <v>0.3</v>
          </cell>
          <cell r="W49">
            <v>0.25</v>
          </cell>
          <cell r="X49">
            <v>0.45</v>
          </cell>
          <cell r="Y49">
            <v>75</v>
          </cell>
        </row>
        <row r="50">
          <cell r="A50" t="str">
            <v>2024-Mazatlán</v>
          </cell>
          <cell r="B50" t="str">
            <v>2024-Atlas</v>
          </cell>
          <cell r="C50">
            <v>2024</v>
          </cell>
          <cell r="D50" t="str">
            <v>Mazatlán</v>
          </cell>
          <cell r="E50">
            <v>2</v>
          </cell>
          <cell r="F50">
            <v>0</v>
          </cell>
          <cell r="G50" t="str">
            <v>Atlas</v>
          </cell>
          <cell r="H50">
            <v>31.45</v>
          </cell>
          <cell r="I50">
            <v>3.15</v>
          </cell>
          <cell r="J50">
            <v>9.44</v>
          </cell>
          <cell r="K50">
            <v>9.44</v>
          </cell>
          <cell r="L50">
            <v>9.44</v>
          </cell>
          <cell r="M50">
            <v>0.29411764705882354</v>
          </cell>
          <cell r="N50">
            <v>0.47058823529411764</v>
          </cell>
          <cell r="O50">
            <v>0.23529411764705882</v>
          </cell>
          <cell r="P50">
            <v>40</v>
          </cell>
          <cell r="Q50">
            <v>28.95</v>
          </cell>
          <cell r="R50">
            <v>2.9</v>
          </cell>
          <cell r="S50">
            <v>8.68</v>
          </cell>
          <cell r="T50">
            <v>8.68</v>
          </cell>
          <cell r="U50">
            <v>8.68</v>
          </cell>
          <cell r="V50">
            <v>0.26315789473684209</v>
          </cell>
          <cell r="W50">
            <v>0.31578947368421051</v>
          </cell>
          <cell r="X50">
            <v>0.42105263157894735</v>
          </cell>
          <cell r="Y50">
            <v>60</v>
          </cell>
        </row>
        <row r="51">
          <cell r="A51" t="str">
            <v>2024-Atlas</v>
          </cell>
          <cell r="B51" t="str">
            <v>2024-Santos Laguna</v>
          </cell>
          <cell r="C51">
            <v>2024</v>
          </cell>
          <cell r="D51" t="str">
            <v>Atlas</v>
          </cell>
          <cell r="E51">
            <v>3</v>
          </cell>
          <cell r="F51">
            <v>0</v>
          </cell>
          <cell r="G51" t="str">
            <v>Santos Laguna</v>
          </cell>
          <cell r="H51">
            <v>28.95</v>
          </cell>
          <cell r="I51">
            <v>2.9</v>
          </cell>
          <cell r="J51">
            <v>8.68</v>
          </cell>
          <cell r="K51">
            <v>8.68</v>
          </cell>
          <cell r="L51">
            <v>8.68</v>
          </cell>
          <cell r="M51" t="str">
            <v>NULL</v>
          </cell>
          <cell r="N51" t="str">
            <v>NULL</v>
          </cell>
          <cell r="O51" t="str">
            <v>NULL</v>
          </cell>
          <cell r="P51">
            <v>60</v>
          </cell>
          <cell r="Q51" t="str">
            <v>NULL</v>
          </cell>
          <cell r="R51" t="str">
            <v>NULL</v>
          </cell>
          <cell r="S51" t="str">
            <v>NULL</v>
          </cell>
          <cell r="T51" t="str">
            <v>NULL</v>
          </cell>
          <cell r="U51" t="str">
            <v>NULL</v>
          </cell>
          <cell r="V51">
            <v>0</v>
          </cell>
          <cell r="W51">
            <v>0.11764705882352941</v>
          </cell>
          <cell r="X51">
            <v>0.88235294117647056</v>
          </cell>
          <cell r="Y51">
            <v>46</v>
          </cell>
        </row>
        <row r="52">
          <cell r="A52" t="str">
            <v>2024-Pachuca</v>
          </cell>
          <cell r="B52" t="str">
            <v>2024-Atlas</v>
          </cell>
          <cell r="C52">
            <v>2024</v>
          </cell>
          <cell r="D52" t="str">
            <v>Pachuca</v>
          </cell>
          <cell r="E52">
            <v>4</v>
          </cell>
          <cell r="F52">
            <v>3</v>
          </cell>
          <cell r="G52" t="str">
            <v>Atlas</v>
          </cell>
          <cell r="H52">
            <v>56.6</v>
          </cell>
          <cell r="I52">
            <v>5.66</v>
          </cell>
          <cell r="J52">
            <v>16.98</v>
          </cell>
          <cell r="K52">
            <v>16.98</v>
          </cell>
          <cell r="L52">
            <v>16.98</v>
          </cell>
          <cell r="M52">
            <v>0.3888888888888889</v>
          </cell>
          <cell r="N52">
            <v>0.33333333333333331</v>
          </cell>
          <cell r="O52">
            <v>0.27777777777777779</v>
          </cell>
          <cell r="P52">
            <v>98</v>
          </cell>
          <cell r="Q52">
            <v>28.95</v>
          </cell>
          <cell r="R52">
            <v>2.9</v>
          </cell>
          <cell r="S52">
            <v>8.68</v>
          </cell>
          <cell r="T52">
            <v>8.68</v>
          </cell>
          <cell r="U52">
            <v>8.68</v>
          </cell>
          <cell r="V52">
            <v>0.26315789473684209</v>
          </cell>
          <cell r="W52">
            <v>0.31578947368421051</v>
          </cell>
          <cell r="X52">
            <v>0.42105263157894735</v>
          </cell>
          <cell r="Y52">
            <v>60</v>
          </cell>
        </row>
        <row r="53">
          <cell r="A53" t="str">
            <v>2024-Atlas</v>
          </cell>
          <cell r="B53" t="str">
            <v>2024-Xolos</v>
          </cell>
          <cell r="C53">
            <v>2024</v>
          </cell>
          <cell r="D53" t="str">
            <v>Atlas</v>
          </cell>
          <cell r="E53">
            <v>0</v>
          </cell>
          <cell r="F53">
            <v>0</v>
          </cell>
          <cell r="G53" t="str">
            <v>Xolos</v>
          </cell>
          <cell r="H53">
            <v>28.95</v>
          </cell>
          <cell r="I53">
            <v>2.9</v>
          </cell>
          <cell r="J53">
            <v>8.68</v>
          </cell>
          <cell r="K53">
            <v>8.68</v>
          </cell>
          <cell r="L53">
            <v>8.68</v>
          </cell>
          <cell r="M53" t="str">
            <v>NULL</v>
          </cell>
          <cell r="N53" t="str">
            <v>NULL</v>
          </cell>
          <cell r="O53" t="str">
            <v>NULL</v>
          </cell>
          <cell r="P53">
            <v>60</v>
          </cell>
          <cell r="Q53">
            <v>39.15</v>
          </cell>
          <cell r="R53">
            <v>3.92</v>
          </cell>
          <cell r="S53">
            <v>11.75</v>
          </cell>
          <cell r="T53">
            <v>11.75</v>
          </cell>
          <cell r="U53">
            <v>11.75</v>
          </cell>
          <cell r="V53">
            <v>0.27777777777777779</v>
          </cell>
          <cell r="W53">
            <v>0.22222222222222221</v>
          </cell>
          <cell r="X53">
            <v>0.5</v>
          </cell>
          <cell r="Y53">
            <v>49</v>
          </cell>
        </row>
        <row r="54">
          <cell r="A54" t="str">
            <v>2024-Necaxa</v>
          </cell>
          <cell r="B54" t="str">
            <v>2024-Atlas</v>
          </cell>
          <cell r="C54">
            <v>2024</v>
          </cell>
          <cell r="D54" t="str">
            <v>Necaxa</v>
          </cell>
          <cell r="E54">
            <v>2</v>
          </cell>
          <cell r="F54">
            <v>1</v>
          </cell>
          <cell r="G54" t="str">
            <v>Atlas</v>
          </cell>
          <cell r="H54">
            <v>38.5</v>
          </cell>
          <cell r="I54">
            <v>3.85</v>
          </cell>
          <cell r="J54">
            <v>11.55</v>
          </cell>
          <cell r="K54">
            <v>11.55</v>
          </cell>
          <cell r="L54">
            <v>11.55</v>
          </cell>
          <cell r="M54">
            <v>0.44444444444444442</v>
          </cell>
          <cell r="N54">
            <v>0.22222222222222221</v>
          </cell>
          <cell r="O54">
            <v>0.33333333333333331</v>
          </cell>
          <cell r="P54">
            <v>77</v>
          </cell>
          <cell r="Q54">
            <v>28.95</v>
          </cell>
          <cell r="R54">
            <v>2.9</v>
          </cell>
          <cell r="S54">
            <v>8.68</v>
          </cell>
          <cell r="T54">
            <v>8.68</v>
          </cell>
          <cell r="U54">
            <v>8.68</v>
          </cell>
          <cell r="V54">
            <v>0.26315789473684209</v>
          </cell>
          <cell r="W54">
            <v>0.31578947368421051</v>
          </cell>
          <cell r="X54">
            <v>0.42105263157894735</v>
          </cell>
          <cell r="Y54">
            <v>60</v>
          </cell>
        </row>
        <row r="55">
          <cell r="A55" t="str">
            <v>2023-Pumas</v>
          </cell>
          <cell r="B55" t="str">
            <v>2023-Atlas</v>
          </cell>
          <cell r="C55">
            <v>2023</v>
          </cell>
          <cell r="D55" t="str">
            <v>Pumas</v>
          </cell>
          <cell r="E55">
            <v>3</v>
          </cell>
          <cell r="F55">
            <v>0</v>
          </cell>
          <cell r="G55" t="str">
            <v>Atlas</v>
          </cell>
          <cell r="H55" t="str">
            <v>NULL</v>
          </cell>
          <cell r="I55" t="str">
            <v>NULL</v>
          </cell>
          <cell r="J55" t="str">
            <v>NULL</v>
          </cell>
          <cell r="K55" t="str">
            <v>NULL</v>
          </cell>
          <cell r="L55" t="str">
            <v>NULL</v>
          </cell>
          <cell r="M55">
            <v>0.5</v>
          </cell>
          <cell r="N55">
            <v>0.16666666666666666</v>
          </cell>
          <cell r="O55">
            <v>0.33333333333333331</v>
          </cell>
          <cell r="P55">
            <v>75</v>
          </cell>
          <cell r="Q55">
            <v>30.7</v>
          </cell>
          <cell r="R55">
            <v>3.07</v>
          </cell>
          <cell r="S55">
            <v>9.2100000000000009</v>
          </cell>
          <cell r="T55">
            <v>9.2100000000000009</v>
          </cell>
          <cell r="U55">
            <v>9.2100000000000009</v>
          </cell>
          <cell r="V55">
            <v>0.26315789473684209</v>
          </cell>
          <cell r="W55">
            <v>0.31578947368421051</v>
          </cell>
          <cell r="X55">
            <v>0.42105263157894735</v>
          </cell>
          <cell r="Y55">
            <v>60</v>
          </cell>
        </row>
        <row r="56">
          <cell r="A56" t="str">
            <v>2023-Atlas</v>
          </cell>
          <cell r="B56" t="str">
            <v>2023-Pachuca</v>
          </cell>
          <cell r="C56">
            <v>2023</v>
          </cell>
          <cell r="D56" t="str">
            <v>Atlas</v>
          </cell>
          <cell r="E56">
            <v>0</v>
          </cell>
          <cell r="F56">
            <v>2</v>
          </cell>
          <cell r="G56" t="str">
            <v>Pachuca</v>
          </cell>
          <cell r="H56">
            <v>30.7</v>
          </cell>
          <cell r="I56">
            <v>3.07</v>
          </cell>
          <cell r="J56">
            <v>9.2100000000000009</v>
          </cell>
          <cell r="K56">
            <v>9.2100000000000009</v>
          </cell>
          <cell r="L56">
            <v>9.2100000000000009</v>
          </cell>
          <cell r="M56" t="str">
            <v>NULL</v>
          </cell>
          <cell r="N56" t="str">
            <v>NULL</v>
          </cell>
          <cell r="O56" t="str">
            <v>NULL</v>
          </cell>
          <cell r="P56">
            <v>60</v>
          </cell>
          <cell r="Q56">
            <v>51.25</v>
          </cell>
          <cell r="R56">
            <v>5.13</v>
          </cell>
          <cell r="S56">
            <v>15.38</v>
          </cell>
          <cell r="T56">
            <v>15.38</v>
          </cell>
          <cell r="U56">
            <v>15.38</v>
          </cell>
          <cell r="V56">
            <v>0.26315789473684209</v>
          </cell>
          <cell r="W56">
            <v>0.15789473684210525</v>
          </cell>
          <cell r="X56">
            <v>0.57894736842105265</v>
          </cell>
          <cell r="Y56">
            <v>98</v>
          </cell>
        </row>
        <row r="57">
          <cell r="A57" t="str">
            <v>2023-Xolos</v>
          </cell>
          <cell r="B57" t="str">
            <v>2023-Atlas</v>
          </cell>
          <cell r="C57">
            <v>2023</v>
          </cell>
          <cell r="D57" t="str">
            <v>Xolos</v>
          </cell>
          <cell r="E57">
            <v>2</v>
          </cell>
          <cell r="F57">
            <v>0</v>
          </cell>
          <cell r="G57" t="str">
            <v>Atlas</v>
          </cell>
          <cell r="H57">
            <v>38.299999999999997</v>
          </cell>
          <cell r="I57">
            <v>3.83</v>
          </cell>
          <cell r="J57">
            <v>11.49</v>
          </cell>
          <cell r="K57">
            <v>11.49</v>
          </cell>
          <cell r="L57">
            <v>11.49</v>
          </cell>
          <cell r="M57">
            <v>0.55000000000000004</v>
          </cell>
          <cell r="N57">
            <v>0.15</v>
          </cell>
          <cell r="O57">
            <v>0.3</v>
          </cell>
          <cell r="P57">
            <v>49</v>
          </cell>
          <cell r="Q57">
            <v>30.7</v>
          </cell>
          <cell r="R57">
            <v>3.07</v>
          </cell>
          <cell r="S57">
            <v>9.2100000000000009</v>
          </cell>
          <cell r="T57">
            <v>9.2100000000000009</v>
          </cell>
          <cell r="U57">
            <v>9.2100000000000009</v>
          </cell>
          <cell r="V57">
            <v>0.26315789473684209</v>
          </cell>
          <cell r="W57">
            <v>0.31578947368421051</v>
          </cell>
          <cell r="X57">
            <v>0.42105263157894735</v>
          </cell>
          <cell r="Y57">
            <v>60</v>
          </cell>
        </row>
        <row r="58">
          <cell r="A58" t="str">
            <v>2023-León</v>
          </cell>
          <cell r="B58" t="str">
            <v>2023-Atlas</v>
          </cell>
          <cell r="C58">
            <v>2023</v>
          </cell>
          <cell r="D58" t="str">
            <v>León</v>
          </cell>
          <cell r="E58">
            <v>1</v>
          </cell>
          <cell r="F58">
            <v>1</v>
          </cell>
          <cell r="G58" t="str">
            <v>Atlas</v>
          </cell>
          <cell r="H58">
            <v>41.5</v>
          </cell>
          <cell r="I58">
            <v>4.1500000000000004</v>
          </cell>
          <cell r="J58">
            <v>12.45</v>
          </cell>
          <cell r="K58">
            <v>12.45</v>
          </cell>
          <cell r="L58">
            <v>12.45</v>
          </cell>
          <cell r="M58">
            <v>0.3888888888888889</v>
          </cell>
          <cell r="N58">
            <v>0.3888888888888889</v>
          </cell>
          <cell r="O58">
            <v>0.22222222222222221</v>
          </cell>
          <cell r="P58">
            <v>87</v>
          </cell>
          <cell r="Q58">
            <v>30.7</v>
          </cell>
          <cell r="R58">
            <v>3.07</v>
          </cell>
          <cell r="S58">
            <v>9.2100000000000009</v>
          </cell>
          <cell r="T58">
            <v>9.2100000000000009</v>
          </cell>
          <cell r="U58">
            <v>9.2100000000000009</v>
          </cell>
          <cell r="V58">
            <v>0.26315789473684209</v>
          </cell>
          <cell r="W58">
            <v>0.31578947368421051</v>
          </cell>
          <cell r="X58">
            <v>0.42105263157894735</v>
          </cell>
          <cell r="Y58">
            <v>60</v>
          </cell>
        </row>
        <row r="59">
          <cell r="A59" t="str">
            <v>2023-Chivas</v>
          </cell>
          <cell r="B59" t="str">
            <v>2023-Atlas</v>
          </cell>
          <cell r="C59">
            <v>2023</v>
          </cell>
          <cell r="D59" t="str">
            <v>Chivas</v>
          </cell>
          <cell r="E59">
            <v>4</v>
          </cell>
          <cell r="F59">
            <v>1</v>
          </cell>
          <cell r="G59" t="str">
            <v>Atlas</v>
          </cell>
          <cell r="H59">
            <v>69.7</v>
          </cell>
          <cell r="I59">
            <v>6.97</v>
          </cell>
          <cell r="J59">
            <v>20.91</v>
          </cell>
          <cell r="K59">
            <v>20.91</v>
          </cell>
          <cell r="L59">
            <v>20.91</v>
          </cell>
          <cell r="M59">
            <v>0.44444444444444442</v>
          </cell>
          <cell r="N59">
            <v>0.33333333333333331</v>
          </cell>
          <cell r="O59">
            <v>0.22222222222222221</v>
          </cell>
          <cell r="P59">
            <v>99</v>
          </cell>
          <cell r="Q59">
            <v>30.7</v>
          </cell>
          <cell r="R59">
            <v>3.07</v>
          </cell>
          <cell r="S59">
            <v>9.2100000000000009</v>
          </cell>
          <cell r="T59">
            <v>9.2100000000000009</v>
          </cell>
          <cell r="U59">
            <v>9.2100000000000009</v>
          </cell>
          <cell r="V59">
            <v>0.26315789473684209</v>
          </cell>
          <cell r="W59">
            <v>0.31578947368421051</v>
          </cell>
          <cell r="X59">
            <v>0.42105263157894735</v>
          </cell>
          <cell r="Y59">
            <v>60</v>
          </cell>
        </row>
        <row r="60">
          <cell r="A60" t="str">
            <v>2023-Atlas</v>
          </cell>
          <cell r="B60" t="str">
            <v>2023-Puebla</v>
          </cell>
          <cell r="C60">
            <v>2023</v>
          </cell>
          <cell r="D60" t="str">
            <v>Atlas</v>
          </cell>
          <cell r="E60">
            <v>2</v>
          </cell>
          <cell r="F60">
            <v>3</v>
          </cell>
          <cell r="G60" t="str">
            <v>Puebla</v>
          </cell>
          <cell r="H60">
            <v>30.7</v>
          </cell>
          <cell r="I60">
            <v>3.07</v>
          </cell>
          <cell r="J60">
            <v>9.2100000000000009</v>
          </cell>
          <cell r="K60">
            <v>9.2100000000000009</v>
          </cell>
          <cell r="L60">
            <v>9.2100000000000009</v>
          </cell>
          <cell r="M60" t="str">
            <v>NULL</v>
          </cell>
          <cell r="N60" t="str">
            <v>NULL</v>
          </cell>
          <cell r="O60" t="str">
            <v>NULL</v>
          </cell>
          <cell r="P60">
            <v>60</v>
          </cell>
          <cell r="Q60">
            <v>26.7</v>
          </cell>
          <cell r="R60">
            <v>2.67</v>
          </cell>
          <cell r="S60">
            <v>8.01</v>
          </cell>
          <cell r="T60">
            <v>8.01</v>
          </cell>
          <cell r="U60">
            <v>8.01</v>
          </cell>
          <cell r="V60">
            <v>0.11764705882352941</v>
          </cell>
          <cell r="W60">
            <v>0.17647058823529413</v>
          </cell>
          <cell r="X60">
            <v>0.70588235294117652</v>
          </cell>
          <cell r="Y60">
            <v>34</v>
          </cell>
        </row>
        <row r="61">
          <cell r="A61" t="str">
            <v>2023-Juarez</v>
          </cell>
          <cell r="B61" t="str">
            <v>2023-Atlas</v>
          </cell>
          <cell r="C61">
            <v>2023</v>
          </cell>
          <cell r="D61" t="str">
            <v>Juarez</v>
          </cell>
          <cell r="E61">
            <v>1</v>
          </cell>
          <cell r="F61">
            <v>2</v>
          </cell>
          <cell r="G61" t="str">
            <v>Atlas</v>
          </cell>
          <cell r="H61" t="str">
            <v>NULL</v>
          </cell>
          <cell r="I61" t="str">
            <v>NULL</v>
          </cell>
          <cell r="J61" t="str">
            <v>NULL</v>
          </cell>
          <cell r="K61" t="str">
            <v>NULL</v>
          </cell>
          <cell r="L61" t="str">
            <v>NULL</v>
          </cell>
          <cell r="M61">
            <v>0.27777777777777779</v>
          </cell>
          <cell r="N61">
            <v>0.33333333333333331</v>
          </cell>
          <cell r="O61">
            <v>0.3888888888888889</v>
          </cell>
          <cell r="P61">
            <v>55</v>
          </cell>
          <cell r="Q61">
            <v>30.7</v>
          </cell>
          <cell r="R61">
            <v>3.07</v>
          </cell>
          <cell r="S61">
            <v>9.2100000000000009</v>
          </cell>
          <cell r="T61">
            <v>9.2100000000000009</v>
          </cell>
          <cell r="U61">
            <v>9.2100000000000009</v>
          </cell>
          <cell r="V61">
            <v>0.26315789473684209</v>
          </cell>
          <cell r="W61">
            <v>0.31578947368421051</v>
          </cell>
          <cell r="X61">
            <v>0.42105263157894735</v>
          </cell>
          <cell r="Y61">
            <v>60</v>
          </cell>
        </row>
        <row r="62">
          <cell r="A62" t="str">
            <v>2023-Atlas</v>
          </cell>
          <cell r="B62" t="str">
            <v>2023-Tigres</v>
          </cell>
          <cell r="C62">
            <v>2023</v>
          </cell>
          <cell r="D62" t="str">
            <v>Atlas</v>
          </cell>
          <cell r="E62">
            <v>2</v>
          </cell>
          <cell r="F62">
            <v>0</v>
          </cell>
          <cell r="G62" t="str">
            <v>Tigres</v>
          </cell>
          <cell r="H62">
            <v>30.7</v>
          </cell>
          <cell r="I62">
            <v>3.07</v>
          </cell>
          <cell r="J62">
            <v>9.2100000000000009</v>
          </cell>
          <cell r="K62">
            <v>9.2100000000000009</v>
          </cell>
          <cell r="L62">
            <v>9.2100000000000009</v>
          </cell>
          <cell r="M62" t="str">
            <v>NULL</v>
          </cell>
          <cell r="N62" t="str">
            <v>NULL</v>
          </cell>
          <cell r="O62" t="str">
            <v>NULL</v>
          </cell>
          <cell r="P62">
            <v>60</v>
          </cell>
          <cell r="Q62" t="str">
            <v>NULL</v>
          </cell>
          <cell r="R62" t="str">
            <v>NULL</v>
          </cell>
          <cell r="S62" t="str">
            <v>NULL</v>
          </cell>
          <cell r="T62" t="str">
            <v>NULL</v>
          </cell>
          <cell r="U62" t="str">
            <v>NULL</v>
          </cell>
          <cell r="V62">
            <v>0.3</v>
          </cell>
          <cell r="W62">
            <v>0.3</v>
          </cell>
          <cell r="X62">
            <v>0.4</v>
          </cell>
          <cell r="Y62">
            <v>107</v>
          </cell>
        </row>
        <row r="63">
          <cell r="A63" t="str">
            <v>2023-Atlético San Luis</v>
          </cell>
          <cell r="B63" t="str">
            <v>2023-Atlas</v>
          </cell>
          <cell r="C63">
            <v>2023</v>
          </cell>
          <cell r="D63" t="str">
            <v>Atlético San Luis</v>
          </cell>
          <cell r="E63">
            <v>2</v>
          </cell>
          <cell r="F63">
            <v>0</v>
          </cell>
          <cell r="G63" t="str">
            <v>Atlas</v>
          </cell>
          <cell r="H63">
            <v>35.85</v>
          </cell>
          <cell r="I63">
            <v>3.59</v>
          </cell>
          <cell r="J63">
            <v>10.77</v>
          </cell>
          <cell r="K63">
            <v>10.77</v>
          </cell>
          <cell r="L63">
            <v>10.77</v>
          </cell>
          <cell r="M63">
            <v>0.68421052631578949</v>
          </cell>
          <cell r="N63">
            <v>5.2631578947368418E-2</v>
          </cell>
          <cell r="O63">
            <v>0.26315789473684209</v>
          </cell>
          <cell r="P63">
            <v>59</v>
          </cell>
          <cell r="Q63">
            <v>30.7</v>
          </cell>
          <cell r="R63">
            <v>3.07</v>
          </cell>
          <cell r="S63">
            <v>9.2100000000000009</v>
          </cell>
          <cell r="T63">
            <v>9.2100000000000009</v>
          </cell>
          <cell r="U63">
            <v>9.2100000000000009</v>
          </cell>
          <cell r="V63">
            <v>0.26315789473684209</v>
          </cell>
          <cell r="W63">
            <v>0.31578947368421051</v>
          </cell>
          <cell r="X63">
            <v>0.42105263157894735</v>
          </cell>
          <cell r="Y63">
            <v>60</v>
          </cell>
        </row>
        <row r="64">
          <cell r="A64" t="str">
            <v>2023-Atlas</v>
          </cell>
          <cell r="B64" t="str">
            <v>2023-Toluca</v>
          </cell>
          <cell r="C64">
            <v>2023</v>
          </cell>
          <cell r="D64" t="str">
            <v>Atlas</v>
          </cell>
          <cell r="E64">
            <v>0</v>
          </cell>
          <cell r="F64">
            <v>0</v>
          </cell>
          <cell r="G64" t="str">
            <v>Toluca</v>
          </cell>
          <cell r="H64">
            <v>30.7</v>
          </cell>
          <cell r="I64">
            <v>3.07</v>
          </cell>
          <cell r="J64">
            <v>9.2100000000000009</v>
          </cell>
          <cell r="K64">
            <v>9.2100000000000009</v>
          </cell>
          <cell r="L64">
            <v>9.2100000000000009</v>
          </cell>
          <cell r="M64" t="str">
            <v>NULL</v>
          </cell>
          <cell r="N64" t="str">
            <v>NULL</v>
          </cell>
          <cell r="O64" t="str">
            <v>NULL</v>
          </cell>
          <cell r="P64">
            <v>60</v>
          </cell>
          <cell r="Q64">
            <v>66.2</v>
          </cell>
          <cell r="R64">
            <v>6.62</v>
          </cell>
          <cell r="S64">
            <v>19.86</v>
          </cell>
          <cell r="T64">
            <v>19.86</v>
          </cell>
          <cell r="U64">
            <v>19.86</v>
          </cell>
          <cell r="V64">
            <v>0.38095238095238093</v>
          </cell>
          <cell r="W64">
            <v>0.33333333333333331</v>
          </cell>
          <cell r="X64">
            <v>0.2857142857142857</v>
          </cell>
          <cell r="Y64">
            <v>118</v>
          </cell>
        </row>
        <row r="65">
          <cell r="A65" t="str">
            <v>2023-América</v>
          </cell>
          <cell r="B65" t="str">
            <v>2023-Atlas</v>
          </cell>
          <cell r="C65">
            <v>2023</v>
          </cell>
          <cell r="D65" t="str">
            <v>América</v>
          </cell>
          <cell r="E65">
            <v>1</v>
          </cell>
          <cell r="F65">
            <v>1</v>
          </cell>
          <cell r="G65" t="str">
            <v>Atlas</v>
          </cell>
          <cell r="H65">
            <v>84.2</v>
          </cell>
          <cell r="I65">
            <v>8.42</v>
          </cell>
          <cell r="J65">
            <v>25.26</v>
          </cell>
          <cell r="K65">
            <v>25.26</v>
          </cell>
          <cell r="L65">
            <v>25.26</v>
          </cell>
          <cell r="M65">
            <v>0.65217391304347827</v>
          </cell>
          <cell r="N65">
            <v>0.21739130434782608</v>
          </cell>
          <cell r="O65">
            <v>0.13043478260869565</v>
          </cell>
          <cell r="P65">
            <v>133</v>
          </cell>
          <cell r="Q65">
            <v>30.7</v>
          </cell>
          <cell r="R65">
            <v>3.07</v>
          </cell>
          <cell r="S65">
            <v>9.2100000000000009</v>
          </cell>
          <cell r="T65">
            <v>9.2100000000000009</v>
          </cell>
          <cell r="U65">
            <v>9.2100000000000009</v>
          </cell>
          <cell r="V65">
            <v>0.26315789473684209</v>
          </cell>
          <cell r="W65">
            <v>0.31578947368421051</v>
          </cell>
          <cell r="X65">
            <v>0.42105263157894735</v>
          </cell>
          <cell r="Y65">
            <v>60</v>
          </cell>
        </row>
        <row r="66">
          <cell r="A66" t="str">
            <v>2023-Santos Laguna</v>
          </cell>
          <cell r="B66" t="str">
            <v>2023-Atlas</v>
          </cell>
          <cell r="C66">
            <v>2023</v>
          </cell>
          <cell r="D66" t="str">
            <v>Santos Laguna</v>
          </cell>
          <cell r="E66">
            <v>0</v>
          </cell>
          <cell r="F66">
            <v>0</v>
          </cell>
          <cell r="G66" t="str">
            <v>Atlas</v>
          </cell>
          <cell r="H66">
            <v>46</v>
          </cell>
          <cell r="I66">
            <v>4.5999999999999996</v>
          </cell>
          <cell r="J66">
            <v>13.8</v>
          </cell>
          <cell r="K66">
            <v>13.8</v>
          </cell>
          <cell r="L66">
            <v>13.8</v>
          </cell>
          <cell r="M66">
            <v>0.23529411764705882</v>
          </cell>
          <cell r="N66">
            <v>0.17647058823529413</v>
          </cell>
          <cell r="O66">
            <v>0.58823529411764708</v>
          </cell>
          <cell r="P66">
            <v>46</v>
          </cell>
          <cell r="Q66">
            <v>30.7</v>
          </cell>
          <cell r="R66">
            <v>3.07</v>
          </cell>
          <cell r="S66">
            <v>9.2100000000000009</v>
          </cell>
          <cell r="T66">
            <v>9.2100000000000009</v>
          </cell>
          <cell r="U66">
            <v>9.2100000000000009</v>
          </cell>
          <cell r="V66">
            <v>0.26315789473684209</v>
          </cell>
          <cell r="W66">
            <v>0.31578947368421051</v>
          </cell>
          <cell r="X66">
            <v>0.42105263157894735</v>
          </cell>
          <cell r="Y66">
            <v>60</v>
          </cell>
        </row>
        <row r="67">
          <cell r="A67" t="str">
            <v>2023-Monterrey</v>
          </cell>
          <cell r="B67" t="str">
            <v>2023-Atlas</v>
          </cell>
          <cell r="C67">
            <v>2023</v>
          </cell>
          <cell r="D67" t="str">
            <v>Monterrey</v>
          </cell>
          <cell r="E67">
            <v>1</v>
          </cell>
          <cell r="F67">
            <v>0</v>
          </cell>
          <cell r="G67" t="str">
            <v>Atlas</v>
          </cell>
          <cell r="H67">
            <v>88.1</v>
          </cell>
          <cell r="I67">
            <v>8.81</v>
          </cell>
          <cell r="J67">
            <v>26.43</v>
          </cell>
          <cell r="K67">
            <v>26.43</v>
          </cell>
          <cell r="L67">
            <v>26.43</v>
          </cell>
          <cell r="M67">
            <v>0.60869565217391308</v>
          </cell>
          <cell r="N67">
            <v>0.17391304347826086</v>
          </cell>
          <cell r="O67">
            <v>0.21739130434782608</v>
          </cell>
          <cell r="P67">
            <v>118</v>
          </cell>
          <cell r="Q67">
            <v>30.7</v>
          </cell>
          <cell r="R67">
            <v>3.07</v>
          </cell>
          <cell r="S67">
            <v>9.2100000000000009</v>
          </cell>
          <cell r="T67">
            <v>9.2100000000000009</v>
          </cell>
          <cell r="U67">
            <v>9.2100000000000009</v>
          </cell>
          <cell r="V67">
            <v>0.26315789473684209</v>
          </cell>
          <cell r="W67">
            <v>0.31578947368421051</v>
          </cell>
          <cell r="X67">
            <v>0.42105263157894735</v>
          </cell>
          <cell r="Y67">
            <v>60</v>
          </cell>
        </row>
        <row r="68">
          <cell r="A68" t="str">
            <v>2024-Santos Laguna</v>
          </cell>
          <cell r="B68" t="str">
            <v>2024-Atlético San Luis</v>
          </cell>
          <cell r="C68">
            <v>2024</v>
          </cell>
          <cell r="D68" t="str">
            <v>Santos Laguna</v>
          </cell>
          <cell r="E68">
            <v>0</v>
          </cell>
          <cell r="F68">
            <v>3</v>
          </cell>
          <cell r="G68" t="str">
            <v>Atlético San Luis</v>
          </cell>
          <cell r="H68">
            <v>35.9</v>
          </cell>
          <cell r="I68">
            <v>3.59</v>
          </cell>
          <cell r="J68">
            <v>10.77</v>
          </cell>
          <cell r="K68">
            <v>10.77</v>
          </cell>
          <cell r="L68">
            <v>10.77</v>
          </cell>
          <cell r="M68">
            <v>0.23529411764705882</v>
          </cell>
          <cell r="N68">
            <v>0.17647058823529413</v>
          </cell>
          <cell r="O68">
            <v>0.58823529411764708</v>
          </cell>
          <cell r="P68">
            <v>46</v>
          </cell>
          <cell r="Q68">
            <v>45.95</v>
          </cell>
          <cell r="R68">
            <v>4.5999999999999996</v>
          </cell>
          <cell r="S68">
            <v>13.84</v>
          </cell>
          <cell r="T68">
            <v>13.84</v>
          </cell>
          <cell r="U68">
            <v>13.84</v>
          </cell>
          <cell r="V68">
            <v>0.21052631578947367</v>
          </cell>
          <cell r="W68">
            <v>0.15789473684210525</v>
          </cell>
          <cell r="X68">
            <v>0.63157894736842102</v>
          </cell>
          <cell r="Y68">
            <v>59</v>
          </cell>
        </row>
        <row r="69">
          <cell r="A69" t="str">
            <v>2024-Atlético San Luis</v>
          </cell>
          <cell r="B69" t="str">
            <v>2024-Toluca</v>
          </cell>
          <cell r="C69">
            <v>2024</v>
          </cell>
          <cell r="D69" t="str">
            <v>Atlético San Luis</v>
          </cell>
          <cell r="E69">
            <v>1</v>
          </cell>
          <cell r="F69">
            <v>5</v>
          </cell>
          <cell r="G69" t="str">
            <v>Toluca</v>
          </cell>
          <cell r="H69">
            <v>45.95</v>
          </cell>
          <cell r="I69">
            <v>4.5999999999999996</v>
          </cell>
          <cell r="J69">
            <v>13.84</v>
          </cell>
          <cell r="K69">
            <v>13.84</v>
          </cell>
          <cell r="L69">
            <v>13.84</v>
          </cell>
          <cell r="M69">
            <v>0.68421052631578949</v>
          </cell>
          <cell r="N69">
            <v>5.2631578947368418E-2</v>
          </cell>
          <cell r="O69">
            <v>0.26315789473684209</v>
          </cell>
          <cell r="P69">
            <v>59</v>
          </cell>
          <cell r="Q69">
            <v>77.45</v>
          </cell>
          <cell r="R69">
            <v>7.75</v>
          </cell>
          <cell r="S69">
            <v>23.24</v>
          </cell>
          <cell r="T69">
            <v>23.24</v>
          </cell>
          <cell r="U69">
            <v>23.24</v>
          </cell>
          <cell r="V69">
            <v>0.38095238095238093</v>
          </cell>
          <cell r="W69">
            <v>0.33333333333333331</v>
          </cell>
          <cell r="X69">
            <v>0.2857142857142857</v>
          </cell>
          <cell r="Y69">
            <v>118</v>
          </cell>
        </row>
        <row r="70">
          <cell r="A70" t="str">
            <v>2024-Atlas</v>
          </cell>
          <cell r="B70" t="str">
            <v>2024-Atlético San Luis</v>
          </cell>
          <cell r="C70">
            <v>2024</v>
          </cell>
          <cell r="D70" t="str">
            <v>Atlas</v>
          </cell>
          <cell r="E70">
            <v>2</v>
          </cell>
          <cell r="F70">
            <v>1</v>
          </cell>
          <cell r="G70" t="str">
            <v>Atlético San Luis</v>
          </cell>
          <cell r="H70">
            <v>28.95</v>
          </cell>
          <cell r="I70">
            <v>2.9</v>
          </cell>
          <cell r="J70">
            <v>8.68</v>
          </cell>
          <cell r="K70">
            <v>8.68</v>
          </cell>
          <cell r="L70">
            <v>8.68</v>
          </cell>
          <cell r="M70" t="str">
            <v>NULL</v>
          </cell>
          <cell r="N70" t="str">
            <v>NULL</v>
          </cell>
          <cell r="O70" t="str">
            <v>NULL</v>
          </cell>
          <cell r="P70">
            <v>60</v>
          </cell>
          <cell r="Q70">
            <v>45.95</v>
          </cell>
          <cell r="R70">
            <v>4.5999999999999996</v>
          </cell>
          <cell r="S70">
            <v>13.84</v>
          </cell>
          <cell r="T70">
            <v>13.84</v>
          </cell>
          <cell r="U70">
            <v>13.84</v>
          </cell>
          <cell r="V70">
            <v>0.21052631578947367</v>
          </cell>
          <cell r="W70">
            <v>0.15789473684210525</v>
          </cell>
          <cell r="X70">
            <v>0.63157894736842102</v>
          </cell>
          <cell r="Y70">
            <v>59</v>
          </cell>
        </row>
        <row r="71">
          <cell r="A71" t="str">
            <v>2024-Atlético San Luis</v>
          </cell>
          <cell r="B71" t="str">
            <v>2024-Juarez</v>
          </cell>
          <cell r="C71">
            <v>2024</v>
          </cell>
          <cell r="D71" t="str">
            <v>Atlético San Luis</v>
          </cell>
          <cell r="E71">
            <v>2</v>
          </cell>
          <cell r="F71">
            <v>3</v>
          </cell>
          <cell r="G71" t="str">
            <v>Juarez</v>
          </cell>
          <cell r="H71">
            <v>45.95</v>
          </cell>
          <cell r="I71">
            <v>4.5999999999999996</v>
          </cell>
          <cell r="J71">
            <v>13.84</v>
          </cell>
          <cell r="K71">
            <v>13.84</v>
          </cell>
          <cell r="L71">
            <v>13.84</v>
          </cell>
          <cell r="M71">
            <v>0.68421052631578949</v>
          </cell>
          <cell r="N71">
            <v>5.2631578947368418E-2</v>
          </cell>
          <cell r="O71">
            <v>0.26315789473684209</v>
          </cell>
          <cell r="P71">
            <v>59</v>
          </cell>
          <cell r="Q71" t="str">
            <v>NULL</v>
          </cell>
          <cell r="R71" t="str">
            <v>NULL</v>
          </cell>
          <cell r="S71" t="str">
            <v>NULL</v>
          </cell>
          <cell r="T71" t="str">
            <v>NULL</v>
          </cell>
          <cell r="U71" t="str">
            <v>NULL</v>
          </cell>
          <cell r="V71">
            <v>0.35294117647058826</v>
          </cell>
          <cell r="W71">
            <v>0.17647058823529413</v>
          </cell>
          <cell r="X71">
            <v>0.47058823529411764</v>
          </cell>
          <cell r="Y71">
            <v>55</v>
          </cell>
        </row>
        <row r="72">
          <cell r="A72" t="str">
            <v>2024-América</v>
          </cell>
          <cell r="B72" t="str">
            <v>2024-Atlético San Luis</v>
          </cell>
          <cell r="C72">
            <v>2024</v>
          </cell>
          <cell r="D72" t="str">
            <v>América</v>
          </cell>
          <cell r="E72">
            <v>2</v>
          </cell>
          <cell r="F72">
            <v>1</v>
          </cell>
          <cell r="G72" t="str">
            <v>Atlético San Luis</v>
          </cell>
          <cell r="H72">
            <v>92.45</v>
          </cell>
          <cell r="I72">
            <v>9.25</v>
          </cell>
          <cell r="J72">
            <v>27.73</v>
          </cell>
          <cell r="K72">
            <v>27.73</v>
          </cell>
          <cell r="L72">
            <v>27.73</v>
          </cell>
          <cell r="M72">
            <v>0.65217391304347827</v>
          </cell>
          <cell r="N72">
            <v>0.21739130434782608</v>
          </cell>
          <cell r="O72">
            <v>0.13043478260869565</v>
          </cell>
          <cell r="P72">
            <v>133</v>
          </cell>
          <cell r="Q72">
            <v>45.95</v>
          </cell>
          <cell r="R72">
            <v>4.5999999999999996</v>
          </cell>
          <cell r="S72">
            <v>13.84</v>
          </cell>
          <cell r="T72">
            <v>13.84</v>
          </cell>
          <cell r="U72">
            <v>13.84</v>
          </cell>
          <cell r="V72">
            <v>0.21052631578947367</v>
          </cell>
          <cell r="W72">
            <v>0.15789473684210525</v>
          </cell>
          <cell r="X72">
            <v>0.63157894736842102</v>
          </cell>
          <cell r="Y72">
            <v>59</v>
          </cell>
        </row>
        <row r="73">
          <cell r="A73" t="str">
            <v>2024-Atlético San Luis</v>
          </cell>
          <cell r="B73" t="str">
            <v>2024-Pachuca</v>
          </cell>
          <cell r="C73">
            <v>2024</v>
          </cell>
          <cell r="D73" t="str">
            <v>Atlético San Luis</v>
          </cell>
          <cell r="E73">
            <v>2</v>
          </cell>
          <cell r="F73">
            <v>1</v>
          </cell>
          <cell r="G73" t="str">
            <v>Pachuca</v>
          </cell>
          <cell r="H73">
            <v>45.95</v>
          </cell>
          <cell r="I73">
            <v>4.5999999999999996</v>
          </cell>
          <cell r="J73">
            <v>13.84</v>
          </cell>
          <cell r="K73">
            <v>13.84</v>
          </cell>
          <cell r="L73">
            <v>13.84</v>
          </cell>
          <cell r="M73">
            <v>0.68421052631578949</v>
          </cell>
          <cell r="N73">
            <v>5.2631578947368418E-2</v>
          </cell>
          <cell r="O73">
            <v>0.26315789473684209</v>
          </cell>
          <cell r="P73">
            <v>59</v>
          </cell>
          <cell r="Q73">
            <v>56.6</v>
          </cell>
          <cell r="R73">
            <v>5.66</v>
          </cell>
          <cell r="S73">
            <v>16.98</v>
          </cell>
          <cell r="T73">
            <v>16.98</v>
          </cell>
          <cell r="U73">
            <v>16.98</v>
          </cell>
          <cell r="V73">
            <v>0.26315789473684209</v>
          </cell>
          <cell r="W73">
            <v>0.15789473684210525</v>
          </cell>
          <cell r="X73">
            <v>0.57894736842105265</v>
          </cell>
          <cell r="Y73">
            <v>98</v>
          </cell>
        </row>
        <row r="74">
          <cell r="A74" t="str">
            <v>2024-Necaxa</v>
          </cell>
          <cell r="B74" t="str">
            <v>2024-Atlético San Luis</v>
          </cell>
          <cell r="C74">
            <v>2024</v>
          </cell>
          <cell r="D74" t="str">
            <v>Necaxa</v>
          </cell>
          <cell r="E74">
            <v>3</v>
          </cell>
          <cell r="F74">
            <v>1</v>
          </cell>
          <cell r="G74" t="str">
            <v>Atlético San Luis</v>
          </cell>
          <cell r="H74">
            <v>38.5</v>
          </cell>
          <cell r="I74">
            <v>3.85</v>
          </cell>
          <cell r="J74">
            <v>11.55</v>
          </cell>
          <cell r="K74">
            <v>11.55</v>
          </cell>
          <cell r="L74">
            <v>11.55</v>
          </cell>
          <cell r="M74">
            <v>0.44444444444444442</v>
          </cell>
          <cell r="N74">
            <v>0.22222222222222221</v>
          </cell>
          <cell r="O74">
            <v>0.33333333333333331</v>
          </cell>
          <cell r="P74">
            <v>77</v>
          </cell>
          <cell r="Q74">
            <v>45.95</v>
          </cell>
          <cell r="R74">
            <v>4.5999999999999996</v>
          </cell>
          <cell r="S74">
            <v>13.84</v>
          </cell>
          <cell r="T74">
            <v>13.84</v>
          </cell>
          <cell r="U74">
            <v>13.84</v>
          </cell>
          <cell r="V74">
            <v>0.21052631578947367</v>
          </cell>
          <cell r="W74">
            <v>0.15789473684210525</v>
          </cell>
          <cell r="X74">
            <v>0.63157894736842102</v>
          </cell>
          <cell r="Y74">
            <v>59</v>
          </cell>
        </row>
        <row r="75">
          <cell r="A75" t="str">
            <v>2024-Atlético San Luis</v>
          </cell>
          <cell r="B75" t="str">
            <v>2024-Puebla</v>
          </cell>
          <cell r="C75">
            <v>2024</v>
          </cell>
          <cell r="D75" t="str">
            <v>Atlético San Luis</v>
          </cell>
          <cell r="E75">
            <v>4</v>
          </cell>
          <cell r="F75">
            <v>0</v>
          </cell>
          <cell r="G75" t="str">
            <v>Puebla</v>
          </cell>
          <cell r="H75">
            <v>45.95</v>
          </cell>
          <cell r="I75">
            <v>4.5999999999999996</v>
          </cell>
          <cell r="J75">
            <v>13.84</v>
          </cell>
          <cell r="K75">
            <v>13.84</v>
          </cell>
          <cell r="L75">
            <v>13.84</v>
          </cell>
          <cell r="M75">
            <v>0.68421052631578949</v>
          </cell>
          <cell r="N75">
            <v>5.2631578947368418E-2</v>
          </cell>
          <cell r="O75">
            <v>0.26315789473684209</v>
          </cell>
          <cell r="P75">
            <v>59</v>
          </cell>
          <cell r="Q75">
            <v>24.1</v>
          </cell>
          <cell r="R75">
            <v>2.41</v>
          </cell>
          <cell r="S75">
            <v>7.23</v>
          </cell>
          <cell r="T75">
            <v>7.23</v>
          </cell>
          <cell r="U75">
            <v>7.23</v>
          </cell>
          <cell r="V75">
            <v>0.11764705882352941</v>
          </cell>
          <cell r="W75">
            <v>0.17647058823529413</v>
          </cell>
          <cell r="X75">
            <v>0.70588235294117652</v>
          </cell>
          <cell r="Y75">
            <v>34</v>
          </cell>
        </row>
        <row r="76">
          <cell r="A76" t="str">
            <v>2024-Querétaro</v>
          </cell>
          <cell r="B76" t="str">
            <v>2024-Atlético San Luis</v>
          </cell>
          <cell r="C76">
            <v>2024</v>
          </cell>
          <cell r="D76" t="str">
            <v>Querétaro</v>
          </cell>
          <cell r="E76">
            <v>4</v>
          </cell>
          <cell r="F76">
            <v>1</v>
          </cell>
          <cell r="G76" t="str">
            <v>Atlético San Luis</v>
          </cell>
          <cell r="H76">
            <v>17.8</v>
          </cell>
          <cell r="I76">
            <v>1.78</v>
          </cell>
          <cell r="J76">
            <v>5.34</v>
          </cell>
          <cell r="K76">
            <v>5.34</v>
          </cell>
          <cell r="L76">
            <v>5.34</v>
          </cell>
          <cell r="M76">
            <v>0.35294117647058826</v>
          </cell>
          <cell r="N76">
            <v>0.11764705882352941</v>
          </cell>
          <cell r="O76">
            <v>0.52941176470588236</v>
          </cell>
          <cell r="P76">
            <v>64</v>
          </cell>
          <cell r="Q76">
            <v>45.95</v>
          </cell>
          <cell r="R76">
            <v>4.5999999999999996</v>
          </cell>
          <cell r="S76">
            <v>13.84</v>
          </cell>
          <cell r="T76">
            <v>13.84</v>
          </cell>
          <cell r="U76">
            <v>13.84</v>
          </cell>
          <cell r="V76">
            <v>0.21052631578947367</v>
          </cell>
          <cell r="W76">
            <v>0.15789473684210525</v>
          </cell>
          <cell r="X76">
            <v>0.63157894736842102</v>
          </cell>
          <cell r="Y76">
            <v>59</v>
          </cell>
        </row>
        <row r="77">
          <cell r="A77" t="str">
            <v>2024-Atlético San Luis</v>
          </cell>
          <cell r="B77" t="str">
            <v>2024-Xolos</v>
          </cell>
          <cell r="C77">
            <v>2024</v>
          </cell>
          <cell r="D77" t="str">
            <v>Atlético San Luis</v>
          </cell>
          <cell r="E77">
            <v>3</v>
          </cell>
          <cell r="F77">
            <v>3</v>
          </cell>
          <cell r="G77" t="str">
            <v>Xolos</v>
          </cell>
          <cell r="H77">
            <v>45.95</v>
          </cell>
          <cell r="I77">
            <v>4.5999999999999996</v>
          </cell>
          <cell r="J77">
            <v>13.84</v>
          </cell>
          <cell r="K77">
            <v>13.84</v>
          </cell>
          <cell r="L77">
            <v>13.84</v>
          </cell>
          <cell r="M77">
            <v>0.68421052631578949</v>
          </cell>
          <cell r="N77">
            <v>5.2631578947368418E-2</v>
          </cell>
          <cell r="O77">
            <v>0.26315789473684209</v>
          </cell>
          <cell r="P77">
            <v>59</v>
          </cell>
          <cell r="Q77">
            <v>39.15</v>
          </cell>
          <cell r="R77">
            <v>3.92</v>
          </cell>
          <cell r="S77">
            <v>11.75</v>
          </cell>
          <cell r="T77">
            <v>11.75</v>
          </cell>
          <cell r="U77">
            <v>11.75</v>
          </cell>
          <cell r="V77">
            <v>0.27777777777777779</v>
          </cell>
          <cell r="W77">
            <v>0.22222222222222221</v>
          </cell>
          <cell r="X77">
            <v>0.5</v>
          </cell>
          <cell r="Y77">
            <v>49</v>
          </cell>
        </row>
        <row r="78">
          <cell r="A78" t="str">
            <v>2024-Cruz Azul</v>
          </cell>
          <cell r="B78" t="str">
            <v>2024-Atlético San Luis</v>
          </cell>
          <cell r="C78">
            <v>2024</v>
          </cell>
          <cell r="D78" t="str">
            <v>Cruz Azul</v>
          </cell>
          <cell r="E78">
            <v>3</v>
          </cell>
          <cell r="F78">
            <v>0</v>
          </cell>
          <cell r="G78" t="str">
            <v>Atlético San Luis</v>
          </cell>
          <cell r="H78">
            <v>78.849999999999994</v>
          </cell>
          <cell r="I78">
            <v>7.89</v>
          </cell>
          <cell r="J78">
            <v>23.66</v>
          </cell>
          <cell r="K78">
            <v>23.66</v>
          </cell>
          <cell r="L78">
            <v>23.66</v>
          </cell>
          <cell r="M78">
            <v>0.7142857142857143</v>
          </cell>
          <cell r="N78">
            <v>0.23809523809523808</v>
          </cell>
          <cell r="O78">
            <v>4.7619047619047616E-2</v>
          </cell>
          <cell r="P78">
            <v>107</v>
          </cell>
          <cell r="Q78">
            <v>45.95</v>
          </cell>
          <cell r="R78">
            <v>4.5999999999999996</v>
          </cell>
          <cell r="S78">
            <v>13.84</v>
          </cell>
          <cell r="T78">
            <v>13.84</v>
          </cell>
          <cell r="U78">
            <v>13.84</v>
          </cell>
          <cell r="V78">
            <v>0.21052631578947367</v>
          </cell>
          <cell r="W78">
            <v>0.15789473684210525</v>
          </cell>
          <cell r="X78">
            <v>0.63157894736842102</v>
          </cell>
          <cell r="Y78">
            <v>59</v>
          </cell>
        </row>
        <row r="79">
          <cell r="A79" t="str">
            <v>2024-Atlético San Luis</v>
          </cell>
          <cell r="B79" t="str">
            <v>2024-Chivas</v>
          </cell>
          <cell r="C79">
            <v>2024</v>
          </cell>
          <cell r="D79" t="str">
            <v>Atlético San Luis</v>
          </cell>
          <cell r="E79">
            <v>0</v>
          </cell>
          <cell r="F79">
            <v>2</v>
          </cell>
          <cell r="G79" t="str">
            <v>Chivas</v>
          </cell>
          <cell r="H79">
            <v>45.95</v>
          </cell>
          <cell r="I79">
            <v>4.5999999999999996</v>
          </cell>
          <cell r="J79">
            <v>13.84</v>
          </cell>
          <cell r="K79">
            <v>13.84</v>
          </cell>
          <cell r="L79">
            <v>13.84</v>
          </cell>
          <cell r="M79">
            <v>0.68421052631578949</v>
          </cell>
          <cell r="N79">
            <v>5.2631578947368418E-2</v>
          </cell>
          <cell r="O79">
            <v>0.26315789473684209</v>
          </cell>
          <cell r="P79">
            <v>59</v>
          </cell>
          <cell r="Q79" t="str">
            <v>NULL</v>
          </cell>
          <cell r="R79" t="str">
            <v>NULL</v>
          </cell>
          <cell r="S79" t="str">
            <v>NULL</v>
          </cell>
          <cell r="T79" t="str">
            <v>NULL</v>
          </cell>
          <cell r="U79" t="str">
            <v>NULL</v>
          </cell>
          <cell r="V79">
            <v>0.23529411764705882</v>
          </cell>
          <cell r="W79">
            <v>0.23529411764705882</v>
          </cell>
          <cell r="X79">
            <v>0.52941176470588236</v>
          </cell>
          <cell r="Y79">
            <v>99</v>
          </cell>
        </row>
        <row r="80">
          <cell r="A80" t="str">
            <v>2024-Monterrey</v>
          </cell>
          <cell r="B80" t="str">
            <v>2024-Atlético San Luis</v>
          </cell>
          <cell r="C80">
            <v>2024</v>
          </cell>
          <cell r="D80" t="str">
            <v>Monterrey</v>
          </cell>
          <cell r="E80">
            <v>3</v>
          </cell>
          <cell r="F80">
            <v>1</v>
          </cell>
          <cell r="G80" t="str">
            <v>Atlético San Luis</v>
          </cell>
          <cell r="H80">
            <v>88.6</v>
          </cell>
          <cell r="I80">
            <v>8.86</v>
          </cell>
          <cell r="J80">
            <v>26.58</v>
          </cell>
          <cell r="K80">
            <v>26.58</v>
          </cell>
          <cell r="L80">
            <v>26.58</v>
          </cell>
          <cell r="M80">
            <v>0.60869565217391308</v>
          </cell>
          <cell r="N80">
            <v>0.17391304347826086</v>
          </cell>
          <cell r="O80">
            <v>0.21739130434782608</v>
          </cell>
          <cell r="P80">
            <v>118</v>
          </cell>
          <cell r="Q80">
            <v>45.95</v>
          </cell>
          <cell r="R80">
            <v>4.5999999999999996</v>
          </cell>
          <cell r="S80">
            <v>13.84</v>
          </cell>
          <cell r="T80">
            <v>13.84</v>
          </cell>
          <cell r="U80">
            <v>13.84</v>
          </cell>
          <cell r="V80">
            <v>0.21052631578947367</v>
          </cell>
          <cell r="W80">
            <v>0.15789473684210525</v>
          </cell>
          <cell r="X80">
            <v>0.63157894736842102</v>
          </cell>
          <cell r="Y80">
            <v>59</v>
          </cell>
        </row>
        <row r="81">
          <cell r="A81" t="str">
            <v>2024-Atlético San Luis</v>
          </cell>
          <cell r="B81" t="str">
            <v>2024-Tigres</v>
          </cell>
          <cell r="C81">
            <v>2024</v>
          </cell>
          <cell r="D81" t="str">
            <v>Atlético San Luis</v>
          </cell>
          <cell r="E81">
            <v>1</v>
          </cell>
          <cell r="F81">
            <v>2</v>
          </cell>
          <cell r="G81" t="str">
            <v>Tigres</v>
          </cell>
          <cell r="H81">
            <v>45.95</v>
          </cell>
          <cell r="I81">
            <v>4.5999999999999996</v>
          </cell>
          <cell r="J81">
            <v>13.84</v>
          </cell>
          <cell r="K81">
            <v>13.84</v>
          </cell>
          <cell r="L81">
            <v>13.84</v>
          </cell>
          <cell r="M81">
            <v>0.68421052631578949</v>
          </cell>
          <cell r="N81">
            <v>5.2631578947368418E-2</v>
          </cell>
          <cell r="O81">
            <v>0.26315789473684209</v>
          </cell>
          <cell r="P81">
            <v>59</v>
          </cell>
          <cell r="Q81" t="str">
            <v>NULL</v>
          </cell>
          <cell r="R81" t="str">
            <v>NULL</v>
          </cell>
          <cell r="S81" t="str">
            <v>NULL</v>
          </cell>
          <cell r="T81" t="str">
            <v>NULL</v>
          </cell>
          <cell r="U81" t="str">
            <v>NULL</v>
          </cell>
          <cell r="V81">
            <v>0.3</v>
          </cell>
          <cell r="W81">
            <v>0.3</v>
          </cell>
          <cell r="X81">
            <v>0.4</v>
          </cell>
          <cell r="Y81">
            <v>107</v>
          </cell>
        </row>
        <row r="82">
          <cell r="A82" t="str">
            <v>2024-Atlético San Luis</v>
          </cell>
          <cell r="B82" t="str">
            <v>2024-Pumas</v>
          </cell>
          <cell r="C82">
            <v>2024</v>
          </cell>
          <cell r="D82" t="str">
            <v>Atlético San Luis</v>
          </cell>
          <cell r="E82">
            <v>3</v>
          </cell>
          <cell r="F82">
            <v>1</v>
          </cell>
          <cell r="G82" t="str">
            <v>Pumas</v>
          </cell>
          <cell r="H82">
            <v>45.95</v>
          </cell>
          <cell r="I82">
            <v>4.5999999999999996</v>
          </cell>
          <cell r="J82">
            <v>13.84</v>
          </cell>
          <cell r="K82">
            <v>13.84</v>
          </cell>
          <cell r="L82">
            <v>13.84</v>
          </cell>
          <cell r="M82">
            <v>0.68421052631578949</v>
          </cell>
          <cell r="N82">
            <v>5.2631578947368418E-2</v>
          </cell>
          <cell r="O82">
            <v>0.26315789473684209</v>
          </cell>
          <cell r="P82">
            <v>59</v>
          </cell>
          <cell r="Q82">
            <v>47.6</v>
          </cell>
          <cell r="R82">
            <v>4.76</v>
          </cell>
          <cell r="S82">
            <v>14.28</v>
          </cell>
          <cell r="T82">
            <v>14.28</v>
          </cell>
          <cell r="U82">
            <v>14.28</v>
          </cell>
          <cell r="V82">
            <v>0.3</v>
          </cell>
          <cell r="W82">
            <v>0.25</v>
          </cell>
          <cell r="X82">
            <v>0.45</v>
          </cell>
          <cell r="Y82">
            <v>75</v>
          </cell>
        </row>
        <row r="83">
          <cell r="A83" t="str">
            <v>2024-Mazatlán</v>
          </cell>
          <cell r="B83" t="str">
            <v>2024-Atlético San Luis</v>
          </cell>
          <cell r="C83">
            <v>2024</v>
          </cell>
          <cell r="D83" t="str">
            <v>Mazatlán</v>
          </cell>
          <cell r="E83">
            <v>0</v>
          </cell>
          <cell r="F83">
            <v>1</v>
          </cell>
          <cell r="G83" t="str">
            <v>Atlético San Luis</v>
          </cell>
          <cell r="H83">
            <v>31.45</v>
          </cell>
          <cell r="I83">
            <v>3.15</v>
          </cell>
          <cell r="J83">
            <v>9.44</v>
          </cell>
          <cell r="K83">
            <v>9.44</v>
          </cell>
          <cell r="L83">
            <v>9.44</v>
          </cell>
          <cell r="M83">
            <v>0.29411764705882354</v>
          </cell>
          <cell r="N83">
            <v>0.47058823529411764</v>
          </cell>
          <cell r="O83">
            <v>0.23529411764705882</v>
          </cell>
          <cell r="P83">
            <v>40</v>
          </cell>
          <cell r="Q83">
            <v>45.95</v>
          </cell>
          <cell r="R83">
            <v>4.5999999999999996</v>
          </cell>
          <cell r="S83">
            <v>13.84</v>
          </cell>
          <cell r="T83">
            <v>13.84</v>
          </cell>
          <cell r="U83">
            <v>13.84</v>
          </cell>
          <cell r="V83">
            <v>0.21052631578947367</v>
          </cell>
          <cell r="W83">
            <v>0.15789473684210525</v>
          </cell>
          <cell r="X83">
            <v>0.63157894736842102</v>
          </cell>
          <cell r="Y83">
            <v>59</v>
          </cell>
        </row>
        <row r="84">
          <cell r="A84" t="str">
            <v>2023-América</v>
          </cell>
          <cell r="B84" t="str">
            <v>2023-Atlético San Luis</v>
          </cell>
          <cell r="C84">
            <v>2023</v>
          </cell>
          <cell r="D84" t="str">
            <v>América</v>
          </cell>
          <cell r="E84">
            <v>0</v>
          </cell>
          <cell r="F84">
            <v>2</v>
          </cell>
          <cell r="G84" t="str">
            <v>Atlético San Luis</v>
          </cell>
          <cell r="H84">
            <v>84.2</v>
          </cell>
          <cell r="I84">
            <v>8.42</v>
          </cell>
          <cell r="J84">
            <v>25.26</v>
          </cell>
          <cell r="K84">
            <v>25.26</v>
          </cell>
          <cell r="L84">
            <v>25.26</v>
          </cell>
          <cell r="M84">
            <v>0.65217391304347827</v>
          </cell>
          <cell r="N84">
            <v>0.21739130434782608</v>
          </cell>
          <cell r="O84">
            <v>0.13043478260869565</v>
          </cell>
          <cell r="P84">
            <v>133</v>
          </cell>
          <cell r="Q84">
            <v>35.85</v>
          </cell>
          <cell r="R84">
            <v>3.59</v>
          </cell>
          <cell r="S84">
            <v>10.77</v>
          </cell>
          <cell r="T84">
            <v>10.77</v>
          </cell>
          <cell r="U84">
            <v>10.77</v>
          </cell>
          <cell r="V84">
            <v>0.21052631578947367</v>
          </cell>
          <cell r="W84">
            <v>0.15789473684210525</v>
          </cell>
          <cell r="X84">
            <v>0.63157894736842102</v>
          </cell>
          <cell r="Y84">
            <v>59</v>
          </cell>
        </row>
        <row r="85">
          <cell r="A85" t="str">
            <v>2023-Atlético San Luis</v>
          </cell>
          <cell r="B85" t="str">
            <v>2023-América</v>
          </cell>
          <cell r="C85">
            <v>2023</v>
          </cell>
          <cell r="D85" t="str">
            <v>Atlético San Luis</v>
          </cell>
          <cell r="E85">
            <v>0</v>
          </cell>
          <cell r="F85">
            <v>5</v>
          </cell>
          <cell r="G85" t="str">
            <v>América</v>
          </cell>
          <cell r="H85">
            <v>35.85</v>
          </cell>
          <cell r="I85">
            <v>3.59</v>
          </cell>
          <cell r="J85">
            <v>10.77</v>
          </cell>
          <cell r="K85">
            <v>10.77</v>
          </cell>
          <cell r="L85">
            <v>10.77</v>
          </cell>
          <cell r="M85">
            <v>0.68421052631578949</v>
          </cell>
          <cell r="N85">
            <v>5.2631578947368418E-2</v>
          </cell>
          <cell r="O85">
            <v>0.26315789473684209</v>
          </cell>
          <cell r="P85">
            <v>59</v>
          </cell>
          <cell r="Q85">
            <v>84.2</v>
          </cell>
          <cell r="R85">
            <v>8.42</v>
          </cell>
          <cell r="S85">
            <v>25.26</v>
          </cell>
          <cell r="T85">
            <v>25.26</v>
          </cell>
          <cell r="U85">
            <v>25.26</v>
          </cell>
          <cell r="V85">
            <v>0.375</v>
          </cell>
          <cell r="W85">
            <v>0.29166666666666669</v>
          </cell>
          <cell r="X85">
            <v>0.33333333333333331</v>
          </cell>
          <cell r="Y85">
            <v>133</v>
          </cell>
        </row>
        <row r="86">
          <cell r="A86" t="str">
            <v>2023-Monterrey</v>
          </cell>
          <cell r="B86" t="str">
            <v>2023-Atlético San Luis</v>
          </cell>
          <cell r="C86">
            <v>2023</v>
          </cell>
          <cell r="D86" t="str">
            <v>Monterrey</v>
          </cell>
          <cell r="E86">
            <v>1</v>
          </cell>
          <cell r="F86">
            <v>1</v>
          </cell>
          <cell r="G86" t="str">
            <v>Atlético San Luis</v>
          </cell>
          <cell r="H86">
            <v>88.1</v>
          </cell>
          <cell r="I86">
            <v>8.81</v>
          </cell>
          <cell r="J86">
            <v>26.43</v>
          </cell>
          <cell r="K86">
            <v>26.43</v>
          </cell>
          <cell r="L86">
            <v>26.43</v>
          </cell>
          <cell r="M86">
            <v>0.60869565217391308</v>
          </cell>
          <cell r="N86">
            <v>0.17391304347826086</v>
          </cell>
          <cell r="O86">
            <v>0.21739130434782608</v>
          </cell>
          <cell r="P86">
            <v>118</v>
          </cell>
          <cell r="Q86">
            <v>35.85</v>
          </cell>
          <cell r="R86">
            <v>3.59</v>
          </cell>
          <cell r="S86">
            <v>10.77</v>
          </cell>
          <cell r="T86">
            <v>10.77</v>
          </cell>
          <cell r="U86">
            <v>10.77</v>
          </cell>
          <cell r="V86">
            <v>0.21052631578947367</v>
          </cell>
          <cell r="W86">
            <v>0.15789473684210525</v>
          </cell>
          <cell r="X86">
            <v>0.63157894736842102</v>
          </cell>
          <cell r="Y86">
            <v>59</v>
          </cell>
        </row>
        <row r="87">
          <cell r="A87" t="str">
            <v>2023-Atlético San Luis</v>
          </cell>
          <cell r="B87" t="str">
            <v>2023-Monterrey</v>
          </cell>
          <cell r="C87">
            <v>2023</v>
          </cell>
          <cell r="D87" t="str">
            <v>Atlético San Luis</v>
          </cell>
          <cell r="E87">
            <v>1</v>
          </cell>
          <cell r="F87">
            <v>0</v>
          </cell>
          <cell r="G87" t="str">
            <v>Monterrey</v>
          </cell>
          <cell r="H87">
            <v>35.85</v>
          </cell>
          <cell r="I87">
            <v>3.59</v>
          </cell>
          <cell r="J87">
            <v>10.77</v>
          </cell>
          <cell r="K87">
            <v>10.77</v>
          </cell>
          <cell r="L87">
            <v>10.77</v>
          </cell>
          <cell r="M87">
            <v>0.68421052631578949</v>
          </cell>
          <cell r="N87">
            <v>5.2631578947368418E-2</v>
          </cell>
          <cell r="O87">
            <v>0.26315789473684209</v>
          </cell>
          <cell r="P87">
            <v>59</v>
          </cell>
          <cell r="Q87">
            <v>88.1</v>
          </cell>
          <cell r="R87">
            <v>8.81</v>
          </cell>
          <cell r="S87">
            <v>26.43</v>
          </cell>
          <cell r="T87">
            <v>26.43</v>
          </cell>
          <cell r="U87">
            <v>26.43</v>
          </cell>
          <cell r="V87">
            <v>0.38095238095238093</v>
          </cell>
          <cell r="W87">
            <v>0.23809523809523808</v>
          </cell>
          <cell r="X87">
            <v>0.38095238095238093</v>
          </cell>
          <cell r="Y87">
            <v>118</v>
          </cell>
        </row>
        <row r="88">
          <cell r="A88" t="str">
            <v>2023-Atlético San Luis</v>
          </cell>
          <cell r="B88" t="str">
            <v>2023-León</v>
          </cell>
          <cell r="C88">
            <v>2023</v>
          </cell>
          <cell r="D88" t="str">
            <v>Atlético San Luis</v>
          </cell>
          <cell r="E88">
            <v>3</v>
          </cell>
          <cell r="F88">
            <v>2</v>
          </cell>
          <cell r="G88" t="str">
            <v>León</v>
          </cell>
          <cell r="H88">
            <v>35.85</v>
          </cell>
          <cell r="I88">
            <v>3.59</v>
          </cell>
          <cell r="J88">
            <v>10.77</v>
          </cell>
          <cell r="K88">
            <v>10.77</v>
          </cell>
          <cell r="L88">
            <v>10.77</v>
          </cell>
          <cell r="M88">
            <v>0.68421052631578949</v>
          </cell>
          <cell r="N88">
            <v>5.2631578947368418E-2</v>
          </cell>
          <cell r="O88">
            <v>0.26315789473684209</v>
          </cell>
          <cell r="P88">
            <v>59</v>
          </cell>
          <cell r="Q88">
            <v>41.5</v>
          </cell>
          <cell r="R88">
            <v>4.1500000000000004</v>
          </cell>
          <cell r="S88">
            <v>12.45</v>
          </cell>
          <cell r="T88">
            <v>12.45</v>
          </cell>
          <cell r="U88">
            <v>12.45</v>
          </cell>
          <cell r="V88">
            <v>0.27777777777777779</v>
          </cell>
          <cell r="W88">
            <v>0.27777777777777779</v>
          </cell>
          <cell r="X88">
            <v>0.44444444444444442</v>
          </cell>
          <cell r="Y88">
            <v>87</v>
          </cell>
        </row>
        <row r="89">
          <cell r="A89" t="str">
            <v>2023-Atlético San Luis</v>
          </cell>
          <cell r="B89" t="str">
            <v>2023-Santos Laguna</v>
          </cell>
          <cell r="C89">
            <v>2023</v>
          </cell>
          <cell r="D89" t="str">
            <v>Atlético San Luis</v>
          </cell>
          <cell r="E89">
            <v>0</v>
          </cell>
          <cell r="F89">
            <v>2</v>
          </cell>
          <cell r="G89" t="str">
            <v>Santos Laguna</v>
          </cell>
          <cell r="H89">
            <v>35.85</v>
          </cell>
          <cell r="I89">
            <v>3.59</v>
          </cell>
          <cell r="J89">
            <v>10.77</v>
          </cell>
          <cell r="K89">
            <v>10.77</v>
          </cell>
          <cell r="L89">
            <v>10.77</v>
          </cell>
          <cell r="M89">
            <v>0.68421052631578949</v>
          </cell>
          <cell r="N89">
            <v>5.2631578947368418E-2</v>
          </cell>
          <cell r="O89">
            <v>0.26315789473684209</v>
          </cell>
          <cell r="P89">
            <v>59</v>
          </cell>
          <cell r="Q89" t="str">
            <v>NULL</v>
          </cell>
          <cell r="R89" t="str">
            <v>NULL</v>
          </cell>
          <cell r="S89" t="str">
            <v>NULL</v>
          </cell>
          <cell r="T89" t="str">
            <v>NULL</v>
          </cell>
          <cell r="U89" t="str">
            <v>NULL</v>
          </cell>
          <cell r="V89">
            <v>0</v>
          </cell>
          <cell r="W89">
            <v>0.11764705882352941</v>
          </cell>
          <cell r="X89">
            <v>0.88235294117647056</v>
          </cell>
          <cell r="Y89">
            <v>46</v>
          </cell>
        </row>
        <row r="90">
          <cell r="A90" t="str">
            <v>2023-Tigres</v>
          </cell>
          <cell r="B90" t="str">
            <v>2023-Atlético San Luis</v>
          </cell>
          <cell r="C90">
            <v>2023</v>
          </cell>
          <cell r="D90" t="str">
            <v>Tigres</v>
          </cell>
          <cell r="E90">
            <v>2</v>
          </cell>
          <cell r="F90">
            <v>2</v>
          </cell>
          <cell r="G90" t="str">
            <v>Atlético San Luis</v>
          </cell>
          <cell r="H90">
            <v>67.599999999999994</v>
          </cell>
          <cell r="I90">
            <v>6.76</v>
          </cell>
          <cell r="J90">
            <v>20.28</v>
          </cell>
          <cell r="K90">
            <v>20.28</v>
          </cell>
          <cell r="L90">
            <v>20.28</v>
          </cell>
          <cell r="M90">
            <v>0.7</v>
          </cell>
          <cell r="N90">
            <v>0.25</v>
          </cell>
          <cell r="O90">
            <v>0.05</v>
          </cell>
          <cell r="P90">
            <v>107</v>
          </cell>
          <cell r="Q90">
            <v>35.85</v>
          </cell>
          <cell r="R90">
            <v>3.59</v>
          </cell>
          <cell r="S90">
            <v>10.77</v>
          </cell>
          <cell r="T90">
            <v>10.77</v>
          </cell>
          <cell r="U90">
            <v>10.77</v>
          </cell>
          <cell r="V90">
            <v>0.21052631578947367</v>
          </cell>
          <cell r="W90">
            <v>0.15789473684210525</v>
          </cell>
          <cell r="X90">
            <v>0.63157894736842102</v>
          </cell>
          <cell r="Y90">
            <v>59</v>
          </cell>
        </row>
        <row r="91">
          <cell r="A91" t="str">
            <v>2023-Atlético San Luis</v>
          </cell>
          <cell r="B91" t="str">
            <v>2023-América</v>
          </cell>
          <cell r="C91">
            <v>2023</v>
          </cell>
          <cell r="D91" t="str">
            <v>Atlético San Luis</v>
          </cell>
          <cell r="E91">
            <v>0</v>
          </cell>
          <cell r="F91">
            <v>1</v>
          </cell>
          <cell r="G91" t="str">
            <v>América</v>
          </cell>
          <cell r="H91">
            <v>35.85</v>
          </cell>
          <cell r="I91">
            <v>3.59</v>
          </cell>
          <cell r="J91">
            <v>10.77</v>
          </cell>
          <cell r="K91">
            <v>10.77</v>
          </cell>
          <cell r="L91">
            <v>10.77</v>
          </cell>
          <cell r="M91">
            <v>0.68421052631578949</v>
          </cell>
          <cell r="N91">
            <v>5.2631578947368418E-2</v>
          </cell>
          <cell r="O91">
            <v>0.26315789473684209</v>
          </cell>
          <cell r="P91">
            <v>59</v>
          </cell>
          <cell r="Q91">
            <v>84.2</v>
          </cell>
          <cell r="R91">
            <v>8.42</v>
          </cell>
          <cell r="S91">
            <v>25.26</v>
          </cell>
          <cell r="T91">
            <v>25.26</v>
          </cell>
          <cell r="U91">
            <v>25.26</v>
          </cell>
          <cell r="V91">
            <v>0.375</v>
          </cell>
          <cell r="W91">
            <v>0.29166666666666669</v>
          </cell>
          <cell r="X91">
            <v>0.33333333333333331</v>
          </cell>
          <cell r="Y91">
            <v>133</v>
          </cell>
        </row>
        <row r="92">
          <cell r="A92" t="str">
            <v>2023-Toluca</v>
          </cell>
          <cell r="B92" t="str">
            <v>2023-Atlético San Luis</v>
          </cell>
          <cell r="C92">
            <v>2023</v>
          </cell>
          <cell r="D92" t="str">
            <v>Toluca</v>
          </cell>
          <cell r="E92">
            <v>3</v>
          </cell>
          <cell r="F92">
            <v>1</v>
          </cell>
          <cell r="G92" t="str">
            <v>Atlético San Luis</v>
          </cell>
          <cell r="H92">
            <v>66.2</v>
          </cell>
          <cell r="I92">
            <v>6.62</v>
          </cell>
          <cell r="J92">
            <v>19.86</v>
          </cell>
          <cell r="K92">
            <v>19.86</v>
          </cell>
          <cell r="L92">
            <v>19.86</v>
          </cell>
          <cell r="M92">
            <v>0.76190476190476186</v>
          </cell>
          <cell r="N92">
            <v>0.19047619047619047</v>
          </cell>
          <cell r="O92">
            <v>4.7619047619047616E-2</v>
          </cell>
          <cell r="P92">
            <v>118</v>
          </cell>
          <cell r="Q92">
            <v>35.85</v>
          </cell>
          <cell r="R92">
            <v>3.59</v>
          </cell>
          <cell r="S92">
            <v>10.77</v>
          </cell>
          <cell r="T92">
            <v>10.77</v>
          </cell>
          <cell r="U92">
            <v>10.77</v>
          </cell>
          <cell r="V92">
            <v>0.21052631578947367</v>
          </cell>
          <cell r="W92">
            <v>0.15789473684210525</v>
          </cell>
          <cell r="X92">
            <v>0.63157894736842102</v>
          </cell>
          <cell r="Y92">
            <v>59</v>
          </cell>
        </row>
        <row r="93">
          <cell r="A93" t="str">
            <v>2023-Juarez</v>
          </cell>
          <cell r="B93" t="str">
            <v>2023-Atlético San Luis</v>
          </cell>
          <cell r="C93">
            <v>2023</v>
          </cell>
          <cell r="D93" t="str">
            <v>Juarez</v>
          </cell>
          <cell r="E93">
            <v>3</v>
          </cell>
          <cell r="F93">
            <v>2</v>
          </cell>
          <cell r="G93" t="str">
            <v>Atlético San Luis</v>
          </cell>
          <cell r="H93" t="str">
            <v>NULL</v>
          </cell>
          <cell r="I93" t="str">
            <v>NULL</v>
          </cell>
          <cell r="J93" t="str">
            <v>NULL</v>
          </cell>
          <cell r="K93" t="str">
            <v>NULL</v>
          </cell>
          <cell r="L93" t="str">
            <v>NULL</v>
          </cell>
          <cell r="M93">
            <v>0.27777777777777779</v>
          </cell>
          <cell r="N93">
            <v>0.33333333333333331</v>
          </cell>
          <cell r="O93">
            <v>0.3888888888888889</v>
          </cell>
          <cell r="P93">
            <v>55</v>
          </cell>
          <cell r="Q93">
            <v>35.85</v>
          </cell>
          <cell r="R93">
            <v>3.59</v>
          </cell>
          <cell r="S93">
            <v>10.77</v>
          </cell>
          <cell r="T93">
            <v>10.77</v>
          </cell>
          <cell r="U93">
            <v>10.77</v>
          </cell>
          <cell r="V93">
            <v>0.21052631578947367</v>
          </cell>
          <cell r="W93">
            <v>0.15789473684210525</v>
          </cell>
          <cell r="X93">
            <v>0.63157894736842102</v>
          </cell>
          <cell r="Y93">
            <v>59</v>
          </cell>
        </row>
        <row r="94">
          <cell r="A94" t="str">
            <v>2023-Atlético San Luis</v>
          </cell>
          <cell r="B94" t="str">
            <v>2023-Necaxa</v>
          </cell>
          <cell r="C94">
            <v>2023</v>
          </cell>
          <cell r="D94" t="str">
            <v>Atlético San Luis</v>
          </cell>
          <cell r="E94">
            <v>4</v>
          </cell>
          <cell r="F94">
            <v>0</v>
          </cell>
          <cell r="G94" t="str">
            <v>Necaxa</v>
          </cell>
          <cell r="H94">
            <v>35.85</v>
          </cell>
          <cell r="I94">
            <v>3.59</v>
          </cell>
          <cell r="J94">
            <v>10.77</v>
          </cell>
          <cell r="K94">
            <v>10.77</v>
          </cell>
          <cell r="L94">
            <v>10.77</v>
          </cell>
          <cell r="M94">
            <v>0.68421052631578949</v>
          </cell>
          <cell r="N94">
            <v>5.2631578947368418E-2</v>
          </cell>
          <cell r="O94">
            <v>0.26315789473684209</v>
          </cell>
          <cell r="P94">
            <v>59</v>
          </cell>
          <cell r="Q94">
            <v>40</v>
          </cell>
          <cell r="R94">
            <v>4</v>
          </cell>
          <cell r="S94">
            <v>12</v>
          </cell>
          <cell r="T94">
            <v>12</v>
          </cell>
          <cell r="U94">
            <v>12</v>
          </cell>
          <cell r="V94">
            <v>0.27777777777777779</v>
          </cell>
          <cell r="W94">
            <v>0.27777777777777779</v>
          </cell>
          <cell r="X94">
            <v>0.44444444444444442</v>
          </cell>
          <cell r="Y94">
            <v>77</v>
          </cell>
        </row>
        <row r="95">
          <cell r="A95" t="str">
            <v>2023-Xolos</v>
          </cell>
          <cell r="B95" t="str">
            <v>2023-Atlético San Luis</v>
          </cell>
          <cell r="C95">
            <v>2023</v>
          </cell>
          <cell r="D95" t="str">
            <v>Xolos</v>
          </cell>
          <cell r="E95">
            <v>2</v>
          </cell>
          <cell r="F95">
            <v>1</v>
          </cell>
          <cell r="G95" t="str">
            <v>Atlético San Luis</v>
          </cell>
          <cell r="H95">
            <v>38.299999999999997</v>
          </cell>
          <cell r="I95">
            <v>3.83</v>
          </cell>
          <cell r="J95">
            <v>11.49</v>
          </cell>
          <cell r="K95">
            <v>11.49</v>
          </cell>
          <cell r="L95">
            <v>11.49</v>
          </cell>
          <cell r="M95">
            <v>0.55000000000000004</v>
          </cell>
          <cell r="N95">
            <v>0.15</v>
          </cell>
          <cell r="O95">
            <v>0.3</v>
          </cell>
          <cell r="P95">
            <v>49</v>
          </cell>
          <cell r="Q95">
            <v>35.85</v>
          </cell>
          <cell r="R95">
            <v>3.59</v>
          </cell>
          <cell r="S95">
            <v>10.77</v>
          </cell>
          <cell r="T95">
            <v>10.77</v>
          </cell>
          <cell r="U95">
            <v>10.77</v>
          </cell>
          <cell r="V95">
            <v>0.21052631578947367</v>
          </cell>
          <cell r="W95">
            <v>0.15789473684210525</v>
          </cell>
          <cell r="X95">
            <v>0.63157894736842102</v>
          </cell>
          <cell r="Y95">
            <v>59</v>
          </cell>
        </row>
        <row r="96">
          <cell r="A96" t="str">
            <v>2023-Atlético San Luis</v>
          </cell>
          <cell r="B96" t="str">
            <v>2023-Cruz Azul</v>
          </cell>
          <cell r="C96">
            <v>2023</v>
          </cell>
          <cell r="D96" t="str">
            <v>Atlético San Luis</v>
          </cell>
          <cell r="E96">
            <v>1</v>
          </cell>
          <cell r="F96">
            <v>2</v>
          </cell>
          <cell r="G96" t="str">
            <v>Cruz Azul</v>
          </cell>
          <cell r="H96">
            <v>35.85</v>
          </cell>
          <cell r="I96">
            <v>3.59</v>
          </cell>
          <cell r="J96">
            <v>10.77</v>
          </cell>
          <cell r="K96">
            <v>10.77</v>
          </cell>
          <cell r="L96">
            <v>10.77</v>
          </cell>
          <cell r="M96">
            <v>0.68421052631578949</v>
          </cell>
          <cell r="N96">
            <v>5.2631578947368418E-2</v>
          </cell>
          <cell r="O96">
            <v>0.26315789473684209</v>
          </cell>
          <cell r="P96">
            <v>59</v>
          </cell>
          <cell r="Q96">
            <v>72.2</v>
          </cell>
          <cell r="R96">
            <v>7.22</v>
          </cell>
          <cell r="S96">
            <v>21.66</v>
          </cell>
          <cell r="T96">
            <v>21.66</v>
          </cell>
          <cell r="U96">
            <v>21.66</v>
          </cell>
          <cell r="V96">
            <v>0.52380952380952384</v>
          </cell>
          <cell r="W96">
            <v>0.23809523809523808</v>
          </cell>
          <cell r="X96">
            <v>0.23809523809523808</v>
          </cell>
          <cell r="Y96">
            <v>107</v>
          </cell>
        </row>
        <row r="97">
          <cell r="A97" t="str">
            <v>2023-Atlético San Luis</v>
          </cell>
          <cell r="B97" t="str">
            <v>2023-Mazatlán</v>
          </cell>
          <cell r="C97">
            <v>2023</v>
          </cell>
          <cell r="D97" t="str">
            <v>Atlético San Luis</v>
          </cell>
          <cell r="E97">
            <v>3</v>
          </cell>
          <cell r="F97">
            <v>2</v>
          </cell>
          <cell r="G97" t="str">
            <v>Mazatlán</v>
          </cell>
          <cell r="H97">
            <v>35.85</v>
          </cell>
          <cell r="I97">
            <v>3.59</v>
          </cell>
          <cell r="J97">
            <v>10.77</v>
          </cell>
          <cell r="K97">
            <v>10.77</v>
          </cell>
          <cell r="L97">
            <v>10.77</v>
          </cell>
          <cell r="M97">
            <v>0.68421052631578949</v>
          </cell>
          <cell r="N97">
            <v>5.2631578947368418E-2</v>
          </cell>
          <cell r="O97">
            <v>0.26315789473684209</v>
          </cell>
          <cell r="P97">
            <v>59</v>
          </cell>
          <cell r="Q97">
            <v>35.049999999999997</v>
          </cell>
          <cell r="R97">
            <v>3.5</v>
          </cell>
          <cell r="S97">
            <v>10.51</v>
          </cell>
          <cell r="T97">
            <v>10.51</v>
          </cell>
          <cell r="U97">
            <v>10.51</v>
          </cell>
          <cell r="V97">
            <v>5.8823529411764705E-2</v>
          </cell>
          <cell r="W97">
            <v>0.29411764705882354</v>
          </cell>
          <cell r="X97">
            <v>0.6470588235294118</v>
          </cell>
          <cell r="Y97">
            <v>40</v>
          </cell>
        </row>
        <row r="98">
          <cell r="A98" t="str">
            <v>2023-Pumas</v>
          </cell>
          <cell r="B98" t="str">
            <v>2023-Atlético San Luis</v>
          </cell>
          <cell r="C98">
            <v>2023</v>
          </cell>
          <cell r="D98" t="str">
            <v>Pumas</v>
          </cell>
          <cell r="E98">
            <v>3</v>
          </cell>
          <cell r="F98">
            <v>2</v>
          </cell>
          <cell r="G98" t="str">
            <v>Atlético San Luis</v>
          </cell>
          <cell r="H98" t="str">
            <v>NULL</v>
          </cell>
          <cell r="I98" t="str">
            <v>NULL</v>
          </cell>
          <cell r="J98" t="str">
            <v>NULL</v>
          </cell>
          <cell r="K98" t="str">
            <v>NULL</v>
          </cell>
          <cell r="L98" t="str">
            <v>NULL</v>
          </cell>
          <cell r="M98">
            <v>0.5</v>
          </cell>
          <cell r="N98">
            <v>0.16666666666666666</v>
          </cell>
          <cell r="O98">
            <v>0.33333333333333331</v>
          </cell>
          <cell r="P98">
            <v>75</v>
          </cell>
          <cell r="Q98">
            <v>35.85</v>
          </cell>
          <cell r="R98">
            <v>3.59</v>
          </cell>
          <cell r="S98">
            <v>10.77</v>
          </cell>
          <cell r="T98">
            <v>10.77</v>
          </cell>
          <cell r="U98">
            <v>10.77</v>
          </cell>
          <cell r="V98">
            <v>0.21052631578947367</v>
          </cell>
          <cell r="W98">
            <v>0.15789473684210525</v>
          </cell>
          <cell r="X98">
            <v>0.63157894736842102</v>
          </cell>
          <cell r="Y98">
            <v>59</v>
          </cell>
        </row>
        <row r="99">
          <cell r="A99" t="str">
            <v>2023-Atlético San Luis</v>
          </cell>
          <cell r="B99" t="str">
            <v>2023-Atlas</v>
          </cell>
          <cell r="C99">
            <v>2023</v>
          </cell>
          <cell r="D99" t="str">
            <v>Atlético San Luis</v>
          </cell>
          <cell r="E99">
            <v>2</v>
          </cell>
          <cell r="F99">
            <v>0</v>
          </cell>
          <cell r="G99" t="str">
            <v>Atlas</v>
          </cell>
          <cell r="H99">
            <v>35.85</v>
          </cell>
          <cell r="I99">
            <v>3.59</v>
          </cell>
          <cell r="J99">
            <v>10.77</v>
          </cell>
          <cell r="K99">
            <v>10.77</v>
          </cell>
          <cell r="L99">
            <v>10.77</v>
          </cell>
          <cell r="M99">
            <v>0.68421052631578949</v>
          </cell>
          <cell r="N99">
            <v>5.2631578947368418E-2</v>
          </cell>
          <cell r="O99">
            <v>0.26315789473684209</v>
          </cell>
          <cell r="P99">
            <v>59</v>
          </cell>
          <cell r="Q99">
            <v>30.7</v>
          </cell>
          <cell r="R99">
            <v>3.07</v>
          </cell>
          <cell r="S99">
            <v>9.2100000000000009</v>
          </cell>
          <cell r="T99">
            <v>9.2100000000000009</v>
          </cell>
          <cell r="U99">
            <v>9.2100000000000009</v>
          </cell>
          <cell r="V99">
            <v>0.26315789473684209</v>
          </cell>
          <cell r="W99">
            <v>0.31578947368421051</v>
          </cell>
          <cell r="X99">
            <v>0.42105263157894735</v>
          </cell>
          <cell r="Y99">
            <v>60</v>
          </cell>
        </row>
        <row r="100">
          <cell r="A100" t="str">
            <v>2023-Pachuca</v>
          </cell>
          <cell r="B100" t="str">
            <v>2023-Atlético San Luis</v>
          </cell>
          <cell r="C100">
            <v>2023</v>
          </cell>
          <cell r="D100" t="str">
            <v>Pachuca</v>
          </cell>
          <cell r="E100">
            <v>0</v>
          </cell>
          <cell r="F100">
            <v>2</v>
          </cell>
          <cell r="G100" t="str">
            <v>Atlético San Luis</v>
          </cell>
          <cell r="H100">
            <v>51.25</v>
          </cell>
          <cell r="I100">
            <v>5.13</v>
          </cell>
          <cell r="J100">
            <v>15.38</v>
          </cell>
          <cell r="K100">
            <v>15.38</v>
          </cell>
          <cell r="L100">
            <v>15.38</v>
          </cell>
          <cell r="M100">
            <v>0.3888888888888889</v>
          </cell>
          <cell r="N100">
            <v>0.33333333333333331</v>
          </cell>
          <cell r="O100">
            <v>0.27777777777777779</v>
          </cell>
          <cell r="P100">
            <v>98</v>
          </cell>
          <cell r="Q100">
            <v>35.85</v>
          </cell>
          <cell r="R100">
            <v>3.59</v>
          </cell>
          <cell r="S100">
            <v>10.77</v>
          </cell>
          <cell r="T100">
            <v>10.77</v>
          </cell>
          <cell r="U100">
            <v>10.77</v>
          </cell>
          <cell r="V100">
            <v>0.21052631578947367</v>
          </cell>
          <cell r="W100">
            <v>0.15789473684210525</v>
          </cell>
          <cell r="X100">
            <v>0.63157894736842102</v>
          </cell>
          <cell r="Y100">
            <v>59</v>
          </cell>
        </row>
        <row r="101">
          <cell r="A101" t="str">
            <v>2023-Atlético San Luis</v>
          </cell>
          <cell r="B101" t="str">
            <v>2023-León</v>
          </cell>
          <cell r="C101">
            <v>2023</v>
          </cell>
          <cell r="D101" t="str">
            <v>Atlético San Luis</v>
          </cell>
          <cell r="E101">
            <v>3</v>
          </cell>
          <cell r="F101">
            <v>0</v>
          </cell>
          <cell r="G101" t="str">
            <v>León</v>
          </cell>
          <cell r="H101">
            <v>35.85</v>
          </cell>
          <cell r="I101">
            <v>3.59</v>
          </cell>
          <cell r="J101">
            <v>10.77</v>
          </cell>
          <cell r="K101">
            <v>10.77</v>
          </cell>
          <cell r="L101">
            <v>10.77</v>
          </cell>
          <cell r="M101">
            <v>0.68421052631578949</v>
          </cell>
          <cell r="N101">
            <v>5.2631578947368418E-2</v>
          </cell>
          <cell r="O101">
            <v>0.26315789473684209</v>
          </cell>
          <cell r="P101">
            <v>59</v>
          </cell>
          <cell r="Q101">
            <v>41.5</v>
          </cell>
          <cell r="R101">
            <v>4.1500000000000004</v>
          </cell>
          <cell r="S101">
            <v>12.45</v>
          </cell>
          <cell r="T101">
            <v>12.45</v>
          </cell>
          <cell r="U101">
            <v>12.45</v>
          </cell>
          <cell r="V101">
            <v>0.27777777777777779</v>
          </cell>
          <cell r="W101">
            <v>0.27777777777777779</v>
          </cell>
          <cell r="X101">
            <v>0.44444444444444442</v>
          </cell>
          <cell r="Y101">
            <v>87</v>
          </cell>
        </row>
        <row r="102">
          <cell r="A102" t="str">
            <v>2023-Puebla</v>
          </cell>
          <cell r="B102" t="str">
            <v>2023-Atlético San Luis</v>
          </cell>
          <cell r="C102">
            <v>2023</v>
          </cell>
          <cell r="D102" t="str">
            <v>Puebla</v>
          </cell>
          <cell r="E102">
            <v>1</v>
          </cell>
          <cell r="F102">
            <v>2</v>
          </cell>
          <cell r="G102" t="str">
            <v>Atlético San Luis</v>
          </cell>
          <cell r="H102">
            <v>26.7</v>
          </cell>
          <cell r="I102">
            <v>2.67</v>
          </cell>
          <cell r="J102">
            <v>8.01</v>
          </cell>
          <cell r="K102">
            <v>8.01</v>
          </cell>
          <cell r="L102">
            <v>8.01</v>
          </cell>
          <cell r="M102">
            <v>0.23529411764705882</v>
          </cell>
          <cell r="N102">
            <v>0.11764705882352941</v>
          </cell>
          <cell r="O102">
            <v>0.6470588235294118</v>
          </cell>
          <cell r="P102">
            <v>34</v>
          </cell>
          <cell r="Q102">
            <v>35.85</v>
          </cell>
          <cell r="R102">
            <v>3.59</v>
          </cell>
          <cell r="S102">
            <v>10.77</v>
          </cell>
          <cell r="T102">
            <v>10.77</v>
          </cell>
          <cell r="U102">
            <v>10.77</v>
          </cell>
          <cell r="V102">
            <v>0.21052631578947367</v>
          </cell>
          <cell r="W102">
            <v>0.15789473684210525</v>
          </cell>
          <cell r="X102">
            <v>0.63157894736842102</v>
          </cell>
          <cell r="Y102">
            <v>59</v>
          </cell>
        </row>
        <row r="103">
          <cell r="A103" t="str">
            <v>2023-Atlético San Luis</v>
          </cell>
          <cell r="B103" t="str">
            <v>2023-Querétaro</v>
          </cell>
          <cell r="C103">
            <v>2023</v>
          </cell>
          <cell r="D103" t="str">
            <v>Atlético San Luis</v>
          </cell>
          <cell r="E103">
            <v>4</v>
          </cell>
          <cell r="F103">
            <v>1</v>
          </cell>
          <cell r="G103" t="str">
            <v>Querétaro</v>
          </cell>
          <cell r="H103">
            <v>35.85</v>
          </cell>
          <cell r="I103">
            <v>3.59</v>
          </cell>
          <cell r="J103">
            <v>10.77</v>
          </cell>
          <cell r="K103">
            <v>10.77</v>
          </cell>
          <cell r="L103">
            <v>10.77</v>
          </cell>
          <cell r="M103">
            <v>0.68421052631578949</v>
          </cell>
          <cell r="N103">
            <v>5.2631578947368418E-2</v>
          </cell>
          <cell r="O103">
            <v>0.26315789473684209</v>
          </cell>
          <cell r="P103">
            <v>59</v>
          </cell>
          <cell r="Q103" t="str">
            <v>NULL</v>
          </cell>
          <cell r="R103" t="str">
            <v>NULL</v>
          </cell>
          <cell r="S103" t="str">
            <v>NULL</v>
          </cell>
          <cell r="T103" t="str">
            <v>NULL</v>
          </cell>
          <cell r="U103" t="str">
            <v>NULL</v>
          </cell>
          <cell r="V103">
            <v>0.17647058823529413</v>
          </cell>
          <cell r="W103">
            <v>0.17647058823529413</v>
          </cell>
          <cell r="X103">
            <v>0.6470588235294118</v>
          </cell>
          <cell r="Y103">
            <v>64</v>
          </cell>
        </row>
        <row r="104">
          <cell r="A104" t="str">
            <v>2023-Chivas</v>
          </cell>
          <cell r="B104" t="str">
            <v>2023-Atlético San Luis</v>
          </cell>
          <cell r="C104">
            <v>2023</v>
          </cell>
          <cell r="D104" t="str">
            <v>Chivas</v>
          </cell>
          <cell r="E104">
            <v>3</v>
          </cell>
          <cell r="F104">
            <v>1</v>
          </cell>
          <cell r="G104" t="str">
            <v>Atlético San Luis</v>
          </cell>
          <cell r="H104">
            <v>69.7</v>
          </cell>
          <cell r="I104">
            <v>6.97</v>
          </cell>
          <cell r="J104">
            <v>20.91</v>
          </cell>
          <cell r="K104">
            <v>20.91</v>
          </cell>
          <cell r="L104">
            <v>20.91</v>
          </cell>
          <cell r="M104">
            <v>0.44444444444444442</v>
          </cell>
          <cell r="N104">
            <v>0.33333333333333331</v>
          </cell>
          <cell r="O104">
            <v>0.22222222222222221</v>
          </cell>
          <cell r="P104">
            <v>99</v>
          </cell>
          <cell r="Q104">
            <v>35.85</v>
          </cell>
          <cell r="R104">
            <v>3.59</v>
          </cell>
          <cell r="S104">
            <v>10.77</v>
          </cell>
          <cell r="T104">
            <v>10.77</v>
          </cell>
          <cell r="U104">
            <v>10.77</v>
          </cell>
          <cell r="V104">
            <v>0.21052631578947367</v>
          </cell>
          <cell r="W104">
            <v>0.15789473684210525</v>
          </cell>
          <cell r="X104">
            <v>0.63157894736842102</v>
          </cell>
          <cell r="Y104">
            <v>59</v>
          </cell>
        </row>
        <row r="105">
          <cell r="A105" t="str">
            <v>2023-Atlético San Luis</v>
          </cell>
          <cell r="B105" t="str">
            <v>2023-Monterrey</v>
          </cell>
          <cell r="C105">
            <v>2023</v>
          </cell>
          <cell r="D105" t="str">
            <v>Atlético San Luis</v>
          </cell>
          <cell r="E105">
            <v>1</v>
          </cell>
          <cell r="F105">
            <v>1</v>
          </cell>
          <cell r="G105" t="str">
            <v>Monterrey</v>
          </cell>
          <cell r="H105">
            <v>35.85</v>
          </cell>
          <cell r="I105">
            <v>3.59</v>
          </cell>
          <cell r="J105">
            <v>10.77</v>
          </cell>
          <cell r="K105">
            <v>10.77</v>
          </cell>
          <cell r="L105">
            <v>10.77</v>
          </cell>
          <cell r="M105">
            <v>0.68421052631578949</v>
          </cell>
          <cell r="N105">
            <v>5.2631578947368418E-2</v>
          </cell>
          <cell r="O105">
            <v>0.26315789473684209</v>
          </cell>
          <cell r="P105">
            <v>59</v>
          </cell>
          <cell r="Q105">
            <v>88.1</v>
          </cell>
          <cell r="R105">
            <v>8.81</v>
          </cell>
          <cell r="S105">
            <v>26.43</v>
          </cell>
          <cell r="T105">
            <v>26.43</v>
          </cell>
          <cell r="U105">
            <v>26.43</v>
          </cell>
          <cell r="V105">
            <v>0.38095238095238093</v>
          </cell>
          <cell r="W105">
            <v>0.23809523809523808</v>
          </cell>
          <cell r="X105">
            <v>0.38095238095238093</v>
          </cell>
          <cell r="Y105">
            <v>118</v>
          </cell>
        </row>
        <row r="106">
          <cell r="A106" t="str">
            <v>2024-América</v>
          </cell>
          <cell r="B106" t="str">
            <v>2024-Cruz Azul</v>
          </cell>
          <cell r="C106">
            <v>2024</v>
          </cell>
          <cell r="D106" t="str">
            <v>América</v>
          </cell>
          <cell r="E106">
            <v>1</v>
          </cell>
          <cell r="F106">
            <v>0</v>
          </cell>
          <cell r="G106" t="str">
            <v>Cruz Azul</v>
          </cell>
          <cell r="H106">
            <v>92.45</v>
          </cell>
          <cell r="I106">
            <v>9.25</v>
          </cell>
          <cell r="J106">
            <v>27.73</v>
          </cell>
          <cell r="K106">
            <v>27.73</v>
          </cell>
          <cell r="L106">
            <v>27.73</v>
          </cell>
          <cell r="M106">
            <v>0.65217391304347827</v>
          </cell>
          <cell r="N106">
            <v>0.21739130434782608</v>
          </cell>
          <cell r="O106">
            <v>0.13043478260869565</v>
          </cell>
          <cell r="P106">
            <v>133</v>
          </cell>
          <cell r="Q106">
            <v>78.849999999999994</v>
          </cell>
          <cell r="R106">
            <v>7.89</v>
          </cell>
          <cell r="S106">
            <v>23.66</v>
          </cell>
          <cell r="T106">
            <v>23.66</v>
          </cell>
          <cell r="U106">
            <v>23.66</v>
          </cell>
          <cell r="V106">
            <v>0.52380952380952384</v>
          </cell>
          <cell r="W106">
            <v>0.23809523809523808</v>
          </cell>
          <cell r="X106">
            <v>0.23809523809523808</v>
          </cell>
          <cell r="Y106">
            <v>107</v>
          </cell>
        </row>
        <row r="107">
          <cell r="A107" t="str">
            <v>2024-Cruz Azul</v>
          </cell>
          <cell r="B107" t="str">
            <v>2024-América</v>
          </cell>
          <cell r="C107">
            <v>2024</v>
          </cell>
          <cell r="D107" t="str">
            <v>Cruz Azul</v>
          </cell>
          <cell r="E107">
            <v>1</v>
          </cell>
          <cell r="F107">
            <v>1</v>
          </cell>
          <cell r="G107" t="str">
            <v>América</v>
          </cell>
          <cell r="H107">
            <v>78.849999999999994</v>
          </cell>
          <cell r="I107">
            <v>7.89</v>
          </cell>
          <cell r="J107">
            <v>23.66</v>
          </cell>
          <cell r="K107">
            <v>23.66</v>
          </cell>
          <cell r="L107">
            <v>23.66</v>
          </cell>
          <cell r="M107">
            <v>0.7142857142857143</v>
          </cell>
          <cell r="N107">
            <v>0.23809523809523808</v>
          </cell>
          <cell r="O107">
            <v>4.7619047619047616E-2</v>
          </cell>
          <cell r="P107">
            <v>107</v>
          </cell>
          <cell r="Q107">
            <v>92.45</v>
          </cell>
          <cell r="R107">
            <v>9.25</v>
          </cell>
          <cell r="S107">
            <v>27.73</v>
          </cell>
          <cell r="T107">
            <v>27.73</v>
          </cell>
          <cell r="U107">
            <v>27.73</v>
          </cell>
          <cell r="V107">
            <v>0.375</v>
          </cell>
          <cell r="W107">
            <v>0.29166666666666669</v>
          </cell>
          <cell r="X107">
            <v>0.33333333333333331</v>
          </cell>
          <cell r="Y107">
            <v>133</v>
          </cell>
        </row>
        <row r="108">
          <cell r="A108" t="str">
            <v>2024-Cruz Azul</v>
          </cell>
          <cell r="B108" t="str">
            <v>2024-Monterrey</v>
          </cell>
          <cell r="C108">
            <v>2024</v>
          </cell>
          <cell r="D108" t="str">
            <v>Cruz Azul</v>
          </cell>
          <cell r="E108">
            <v>1</v>
          </cell>
          <cell r="F108">
            <v>2</v>
          </cell>
          <cell r="G108" t="str">
            <v>Monterrey</v>
          </cell>
          <cell r="H108">
            <v>78.849999999999994</v>
          </cell>
          <cell r="I108">
            <v>7.89</v>
          </cell>
          <cell r="J108">
            <v>23.66</v>
          </cell>
          <cell r="K108">
            <v>23.66</v>
          </cell>
          <cell r="L108">
            <v>23.66</v>
          </cell>
          <cell r="M108">
            <v>0.7142857142857143</v>
          </cell>
          <cell r="N108">
            <v>0.23809523809523808</v>
          </cell>
          <cell r="O108">
            <v>4.7619047619047616E-2</v>
          </cell>
          <cell r="P108">
            <v>107</v>
          </cell>
          <cell r="Q108">
            <v>88.6</v>
          </cell>
          <cell r="R108">
            <v>8.86</v>
          </cell>
          <cell r="S108">
            <v>26.58</v>
          </cell>
          <cell r="T108">
            <v>26.58</v>
          </cell>
          <cell r="U108">
            <v>26.58</v>
          </cell>
          <cell r="V108">
            <v>0.38095238095238093</v>
          </cell>
          <cell r="W108">
            <v>0.23809523809523808</v>
          </cell>
          <cell r="X108">
            <v>0.38095238095238093</v>
          </cell>
          <cell r="Y108">
            <v>118</v>
          </cell>
        </row>
        <row r="109">
          <cell r="A109" t="str">
            <v>2024-Monterrey</v>
          </cell>
          <cell r="B109" t="str">
            <v>2024-Cruz Azul</v>
          </cell>
          <cell r="C109">
            <v>2024</v>
          </cell>
          <cell r="D109" t="str">
            <v>Monterrey</v>
          </cell>
          <cell r="E109">
            <v>0</v>
          </cell>
          <cell r="F109">
            <v>1</v>
          </cell>
          <cell r="G109" t="str">
            <v>Cruz Azul</v>
          </cell>
          <cell r="H109">
            <v>88.6</v>
          </cell>
          <cell r="I109">
            <v>8.86</v>
          </cell>
          <cell r="J109">
            <v>26.58</v>
          </cell>
          <cell r="K109">
            <v>26.58</v>
          </cell>
          <cell r="L109">
            <v>26.58</v>
          </cell>
          <cell r="M109">
            <v>0.60869565217391308</v>
          </cell>
          <cell r="N109">
            <v>0.17391304347826086</v>
          </cell>
          <cell r="O109">
            <v>0.21739130434782608</v>
          </cell>
          <cell r="P109">
            <v>118</v>
          </cell>
          <cell r="Q109">
            <v>78.849999999999994</v>
          </cell>
          <cell r="R109">
            <v>7.89</v>
          </cell>
          <cell r="S109">
            <v>23.66</v>
          </cell>
          <cell r="T109">
            <v>23.66</v>
          </cell>
          <cell r="U109">
            <v>23.66</v>
          </cell>
          <cell r="V109">
            <v>0.52380952380952384</v>
          </cell>
          <cell r="W109">
            <v>0.23809523809523808</v>
          </cell>
          <cell r="X109">
            <v>0.23809523809523808</v>
          </cell>
          <cell r="Y109">
            <v>107</v>
          </cell>
        </row>
        <row r="110">
          <cell r="A110" t="str">
            <v>2024-Cruz Azul</v>
          </cell>
          <cell r="B110" t="str">
            <v>2024-Pumas</v>
          </cell>
          <cell r="C110">
            <v>2024</v>
          </cell>
          <cell r="D110" t="str">
            <v>Cruz Azul</v>
          </cell>
          <cell r="E110">
            <v>2</v>
          </cell>
          <cell r="F110">
            <v>2</v>
          </cell>
          <cell r="G110" t="str">
            <v>Pumas</v>
          </cell>
          <cell r="H110">
            <v>78.849999999999994</v>
          </cell>
          <cell r="I110">
            <v>7.89</v>
          </cell>
          <cell r="J110">
            <v>23.66</v>
          </cell>
          <cell r="K110">
            <v>23.66</v>
          </cell>
          <cell r="L110">
            <v>23.66</v>
          </cell>
          <cell r="M110">
            <v>0.7142857142857143</v>
          </cell>
          <cell r="N110">
            <v>0.23809523809523808</v>
          </cell>
          <cell r="O110">
            <v>4.7619047619047616E-2</v>
          </cell>
          <cell r="P110">
            <v>107</v>
          </cell>
          <cell r="Q110">
            <v>47.6</v>
          </cell>
          <cell r="R110">
            <v>4.76</v>
          </cell>
          <cell r="S110">
            <v>14.28</v>
          </cell>
          <cell r="T110">
            <v>14.28</v>
          </cell>
          <cell r="U110">
            <v>14.28</v>
          </cell>
          <cell r="V110">
            <v>0.3</v>
          </cell>
          <cell r="W110">
            <v>0.25</v>
          </cell>
          <cell r="X110">
            <v>0.45</v>
          </cell>
          <cell r="Y110">
            <v>75</v>
          </cell>
        </row>
        <row r="111">
          <cell r="A111" t="str">
            <v>2024-Pumas</v>
          </cell>
          <cell r="B111" t="str">
            <v>2024-Cruz Azul</v>
          </cell>
          <cell r="C111">
            <v>2024</v>
          </cell>
          <cell r="D111" t="str">
            <v>Pumas</v>
          </cell>
          <cell r="E111">
            <v>0</v>
          </cell>
          <cell r="F111">
            <v>2</v>
          </cell>
          <cell r="G111" t="str">
            <v>Cruz Azul</v>
          </cell>
          <cell r="H111">
            <v>47.6</v>
          </cell>
          <cell r="I111">
            <v>4.76</v>
          </cell>
          <cell r="J111">
            <v>14.28</v>
          </cell>
          <cell r="K111">
            <v>14.28</v>
          </cell>
          <cell r="L111">
            <v>14.28</v>
          </cell>
          <cell r="M111">
            <v>0.5</v>
          </cell>
          <cell r="N111">
            <v>0.16666666666666666</v>
          </cell>
          <cell r="O111">
            <v>0.33333333333333331</v>
          </cell>
          <cell r="P111">
            <v>75</v>
          </cell>
          <cell r="Q111">
            <v>78.849999999999994</v>
          </cell>
          <cell r="R111">
            <v>7.89</v>
          </cell>
          <cell r="S111">
            <v>23.66</v>
          </cell>
          <cell r="T111">
            <v>23.66</v>
          </cell>
          <cell r="U111">
            <v>23.66</v>
          </cell>
          <cell r="V111">
            <v>0.52380952380952384</v>
          </cell>
          <cell r="W111">
            <v>0.23809523809523808</v>
          </cell>
          <cell r="X111">
            <v>0.23809523809523808</v>
          </cell>
          <cell r="Y111">
            <v>107</v>
          </cell>
        </row>
        <row r="112">
          <cell r="A112" t="str">
            <v>2024-Toluca</v>
          </cell>
          <cell r="B112" t="str">
            <v>2024-Cruz Azul</v>
          </cell>
          <cell r="C112">
            <v>2024</v>
          </cell>
          <cell r="D112" t="str">
            <v>Toluca</v>
          </cell>
          <cell r="E112">
            <v>0</v>
          </cell>
          <cell r="F112">
            <v>1</v>
          </cell>
          <cell r="G112" t="str">
            <v>Cruz Azul</v>
          </cell>
          <cell r="H112">
            <v>77.45</v>
          </cell>
          <cell r="I112">
            <v>7.75</v>
          </cell>
          <cell r="J112">
            <v>23.24</v>
          </cell>
          <cell r="K112">
            <v>23.24</v>
          </cell>
          <cell r="L112">
            <v>23.24</v>
          </cell>
          <cell r="M112">
            <v>0.76190476190476186</v>
          </cell>
          <cell r="N112">
            <v>0.19047619047619047</v>
          </cell>
          <cell r="O112">
            <v>4.7619047619047616E-2</v>
          </cell>
          <cell r="P112">
            <v>118</v>
          </cell>
          <cell r="Q112">
            <v>78.849999999999994</v>
          </cell>
          <cell r="R112">
            <v>7.89</v>
          </cell>
          <cell r="S112">
            <v>23.66</v>
          </cell>
          <cell r="T112">
            <v>23.66</v>
          </cell>
          <cell r="U112">
            <v>23.66</v>
          </cell>
          <cell r="V112">
            <v>0.52380952380952384</v>
          </cell>
          <cell r="W112">
            <v>0.23809523809523808</v>
          </cell>
          <cell r="X112">
            <v>0.23809523809523808</v>
          </cell>
          <cell r="Y112">
            <v>107</v>
          </cell>
        </row>
        <row r="113">
          <cell r="A113" t="str">
            <v>2024-Cruz Azul</v>
          </cell>
          <cell r="B113" t="str">
            <v>2024-Atlas</v>
          </cell>
          <cell r="C113">
            <v>2024</v>
          </cell>
          <cell r="D113" t="str">
            <v>Cruz Azul</v>
          </cell>
          <cell r="E113">
            <v>2</v>
          </cell>
          <cell r="F113">
            <v>2</v>
          </cell>
          <cell r="G113" t="str">
            <v>Atlas</v>
          </cell>
          <cell r="H113">
            <v>78.849999999999994</v>
          </cell>
          <cell r="I113">
            <v>7.89</v>
          </cell>
          <cell r="J113">
            <v>23.66</v>
          </cell>
          <cell r="K113">
            <v>23.66</v>
          </cell>
          <cell r="L113">
            <v>23.66</v>
          </cell>
          <cell r="M113">
            <v>0.7142857142857143</v>
          </cell>
          <cell r="N113">
            <v>0.23809523809523808</v>
          </cell>
          <cell r="O113">
            <v>4.7619047619047616E-2</v>
          </cell>
          <cell r="P113">
            <v>107</v>
          </cell>
          <cell r="Q113">
            <v>28.95</v>
          </cell>
          <cell r="R113">
            <v>2.9</v>
          </cell>
          <cell r="S113">
            <v>8.68</v>
          </cell>
          <cell r="T113">
            <v>8.68</v>
          </cell>
          <cell r="U113">
            <v>8.68</v>
          </cell>
          <cell r="V113">
            <v>0.26315789473684209</v>
          </cell>
          <cell r="W113">
            <v>0.31578947368421051</v>
          </cell>
          <cell r="X113">
            <v>0.42105263157894735</v>
          </cell>
          <cell r="Y113">
            <v>60</v>
          </cell>
        </row>
        <row r="114">
          <cell r="A114" t="str">
            <v>2024-Puebla</v>
          </cell>
          <cell r="B114" t="str">
            <v>2024-Cruz Azul</v>
          </cell>
          <cell r="C114">
            <v>2024</v>
          </cell>
          <cell r="D114" t="str">
            <v>Puebla</v>
          </cell>
          <cell r="E114">
            <v>0</v>
          </cell>
          <cell r="F114">
            <v>1</v>
          </cell>
          <cell r="G114" t="str">
            <v>Cruz Azul</v>
          </cell>
          <cell r="H114">
            <v>24.1</v>
          </cell>
          <cell r="I114">
            <v>2.41</v>
          </cell>
          <cell r="J114">
            <v>7.23</v>
          </cell>
          <cell r="K114">
            <v>7.23</v>
          </cell>
          <cell r="L114">
            <v>7.23</v>
          </cell>
          <cell r="M114">
            <v>0.23529411764705882</v>
          </cell>
          <cell r="N114">
            <v>0.11764705882352941</v>
          </cell>
          <cell r="O114">
            <v>0.6470588235294118</v>
          </cell>
          <cell r="P114">
            <v>34</v>
          </cell>
          <cell r="Q114">
            <v>78.849999999999994</v>
          </cell>
          <cell r="R114">
            <v>7.89</v>
          </cell>
          <cell r="S114">
            <v>23.66</v>
          </cell>
          <cell r="T114">
            <v>23.66</v>
          </cell>
          <cell r="U114">
            <v>23.66</v>
          </cell>
          <cell r="V114">
            <v>0.52380952380952384</v>
          </cell>
          <cell r="W114">
            <v>0.23809523809523808</v>
          </cell>
          <cell r="X114">
            <v>0.23809523809523808</v>
          </cell>
          <cell r="Y114">
            <v>107</v>
          </cell>
        </row>
        <row r="115">
          <cell r="A115" t="str">
            <v>2024-Cruz Azul</v>
          </cell>
          <cell r="B115" t="str">
            <v>2024-Monterrey</v>
          </cell>
          <cell r="C115">
            <v>2024</v>
          </cell>
          <cell r="D115" t="str">
            <v>Cruz Azul</v>
          </cell>
          <cell r="E115">
            <v>2</v>
          </cell>
          <cell r="F115">
            <v>1</v>
          </cell>
          <cell r="G115" t="str">
            <v>Monterrey</v>
          </cell>
          <cell r="H115">
            <v>78.849999999999994</v>
          </cell>
          <cell r="I115">
            <v>7.89</v>
          </cell>
          <cell r="J115">
            <v>23.66</v>
          </cell>
          <cell r="K115">
            <v>23.66</v>
          </cell>
          <cell r="L115">
            <v>23.66</v>
          </cell>
          <cell r="M115">
            <v>0.7142857142857143</v>
          </cell>
          <cell r="N115">
            <v>0.23809523809523808</v>
          </cell>
          <cell r="O115">
            <v>4.7619047619047616E-2</v>
          </cell>
          <cell r="P115">
            <v>107</v>
          </cell>
          <cell r="Q115">
            <v>88.6</v>
          </cell>
          <cell r="R115">
            <v>8.86</v>
          </cell>
          <cell r="S115">
            <v>26.58</v>
          </cell>
          <cell r="T115">
            <v>26.58</v>
          </cell>
          <cell r="U115">
            <v>26.58</v>
          </cell>
          <cell r="V115">
            <v>0.38095238095238093</v>
          </cell>
          <cell r="W115">
            <v>0.23809523809523808</v>
          </cell>
          <cell r="X115">
            <v>0.38095238095238093</v>
          </cell>
          <cell r="Y115">
            <v>118</v>
          </cell>
        </row>
        <row r="116">
          <cell r="A116" t="str">
            <v>2024-Pumas</v>
          </cell>
          <cell r="B116" t="str">
            <v>2024-Cruz Azul</v>
          </cell>
          <cell r="C116">
            <v>2024</v>
          </cell>
          <cell r="D116" t="str">
            <v>Pumas</v>
          </cell>
          <cell r="E116">
            <v>0</v>
          </cell>
          <cell r="F116">
            <v>0</v>
          </cell>
          <cell r="G116" t="str">
            <v>Cruz Azul</v>
          </cell>
          <cell r="H116">
            <v>47.6</v>
          </cell>
          <cell r="I116">
            <v>4.76</v>
          </cell>
          <cell r="J116">
            <v>14.28</v>
          </cell>
          <cell r="K116">
            <v>14.28</v>
          </cell>
          <cell r="L116">
            <v>14.28</v>
          </cell>
          <cell r="M116">
            <v>0.5</v>
          </cell>
          <cell r="N116">
            <v>0.16666666666666666</v>
          </cell>
          <cell r="O116">
            <v>0.33333333333333331</v>
          </cell>
          <cell r="P116">
            <v>75</v>
          </cell>
          <cell r="Q116">
            <v>78.849999999999994</v>
          </cell>
          <cell r="R116">
            <v>7.89</v>
          </cell>
          <cell r="S116">
            <v>23.66</v>
          </cell>
          <cell r="T116">
            <v>23.66</v>
          </cell>
          <cell r="U116">
            <v>23.66</v>
          </cell>
          <cell r="V116">
            <v>0.52380952380952384</v>
          </cell>
          <cell r="W116">
            <v>0.23809523809523808</v>
          </cell>
          <cell r="X116">
            <v>0.23809523809523808</v>
          </cell>
          <cell r="Y116">
            <v>107</v>
          </cell>
        </row>
        <row r="117">
          <cell r="A117" t="str">
            <v>2024-Cruz Azul</v>
          </cell>
          <cell r="B117" t="str">
            <v>2024-Necaxa</v>
          </cell>
          <cell r="C117">
            <v>2024</v>
          </cell>
          <cell r="D117" t="str">
            <v>Cruz Azul</v>
          </cell>
          <cell r="E117">
            <v>1</v>
          </cell>
          <cell r="F117">
            <v>2</v>
          </cell>
          <cell r="G117" t="str">
            <v>Necaxa</v>
          </cell>
          <cell r="H117">
            <v>78.849999999999994</v>
          </cell>
          <cell r="I117">
            <v>7.89</v>
          </cell>
          <cell r="J117">
            <v>23.66</v>
          </cell>
          <cell r="K117">
            <v>23.66</v>
          </cell>
          <cell r="L117">
            <v>23.66</v>
          </cell>
          <cell r="M117">
            <v>0.7142857142857143</v>
          </cell>
          <cell r="N117">
            <v>0.23809523809523808</v>
          </cell>
          <cell r="O117">
            <v>4.7619047619047616E-2</v>
          </cell>
          <cell r="P117">
            <v>107</v>
          </cell>
          <cell r="Q117">
            <v>38.5</v>
          </cell>
          <cell r="R117">
            <v>3.85</v>
          </cell>
          <cell r="S117">
            <v>11.55</v>
          </cell>
          <cell r="T117">
            <v>11.55</v>
          </cell>
          <cell r="U117">
            <v>11.55</v>
          </cell>
          <cell r="V117">
            <v>0.27777777777777779</v>
          </cell>
          <cell r="W117">
            <v>0.27777777777777779</v>
          </cell>
          <cell r="X117">
            <v>0.44444444444444442</v>
          </cell>
          <cell r="Y117">
            <v>77</v>
          </cell>
        </row>
        <row r="118">
          <cell r="A118" t="str">
            <v>2024-Cruz Azul</v>
          </cell>
          <cell r="B118" t="str">
            <v>2024-Chivas</v>
          </cell>
          <cell r="C118">
            <v>2024</v>
          </cell>
          <cell r="D118" t="str">
            <v>Cruz Azul</v>
          </cell>
          <cell r="E118">
            <v>3</v>
          </cell>
          <cell r="F118">
            <v>0</v>
          </cell>
          <cell r="G118" t="str">
            <v>Chivas</v>
          </cell>
          <cell r="H118">
            <v>78.849999999999994</v>
          </cell>
          <cell r="I118">
            <v>7.89</v>
          </cell>
          <cell r="J118">
            <v>23.66</v>
          </cell>
          <cell r="K118">
            <v>23.66</v>
          </cell>
          <cell r="L118">
            <v>23.66</v>
          </cell>
          <cell r="M118">
            <v>0.7142857142857143</v>
          </cell>
          <cell r="N118">
            <v>0.23809523809523808</v>
          </cell>
          <cell r="O118">
            <v>4.7619047619047616E-2</v>
          </cell>
          <cell r="P118">
            <v>107</v>
          </cell>
          <cell r="Q118" t="str">
            <v>NULL</v>
          </cell>
          <cell r="R118" t="str">
            <v>NULL</v>
          </cell>
          <cell r="S118" t="str">
            <v>NULL</v>
          </cell>
          <cell r="T118" t="str">
            <v>NULL</v>
          </cell>
          <cell r="U118" t="str">
            <v>NULL</v>
          </cell>
          <cell r="V118">
            <v>0.23529411764705882</v>
          </cell>
          <cell r="W118">
            <v>0.23529411764705882</v>
          </cell>
          <cell r="X118">
            <v>0.52941176470588236</v>
          </cell>
          <cell r="Y118">
            <v>99</v>
          </cell>
        </row>
        <row r="119">
          <cell r="A119" t="str">
            <v>2024-América</v>
          </cell>
          <cell r="B119" t="str">
            <v>2024-Cruz Azul</v>
          </cell>
          <cell r="C119">
            <v>2024</v>
          </cell>
          <cell r="D119" t="str">
            <v>América</v>
          </cell>
          <cell r="E119">
            <v>1</v>
          </cell>
          <cell r="F119">
            <v>0</v>
          </cell>
          <cell r="G119" t="str">
            <v>Cruz Azul</v>
          </cell>
          <cell r="H119">
            <v>92.45</v>
          </cell>
          <cell r="I119">
            <v>9.25</v>
          </cell>
          <cell r="J119">
            <v>27.73</v>
          </cell>
          <cell r="K119">
            <v>27.73</v>
          </cell>
          <cell r="L119">
            <v>27.73</v>
          </cell>
          <cell r="M119">
            <v>0.65217391304347827</v>
          </cell>
          <cell r="N119">
            <v>0.21739130434782608</v>
          </cell>
          <cell r="O119">
            <v>0.13043478260869565</v>
          </cell>
          <cell r="P119">
            <v>133</v>
          </cell>
          <cell r="Q119">
            <v>78.849999999999994</v>
          </cell>
          <cell r="R119">
            <v>7.89</v>
          </cell>
          <cell r="S119">
            <v>23.66</v>
          </cell>
          <cell r="T119">
            <v>23.66</v>
          </cell>
          <cell r="U119">
            <v>23.66</v>
          </cell>
          <cell r="V119">
            <v>0.52380952380952384</v>
          </cell>
          <cell r="W119">
            <v>0.23809523809523808</v>
          </cell>
          <cell r="X119">
            <v>0.23809523809523808</v>
          </cell>
          <cell r="Y119">
            <v>107</v>
          </cell>
        </row>
        <row r="120">
          <cell r="A120" t="str">
            <v>2024-León</v>
          </cell>
          <cell r="B120" t="str">
            <v>2024-Cruz Azul</v>
          </cell>
          <cell r="C120">
            <v>2024</v>
          </cell>
          <cell r="D120" t="str">
            <v>León</v>
          </cell>
          <cell r="E120">
            <v>2</v>
          </cell>
          <cell r="F120">
            <v>3</v>
          </cell>
          <cell r="G120" t="str">
            <v>Cruz Azul</v>
          </cell>
          <cell r="H120">
            <v>29.55</v>
          </cell>
          <cell r="I120">
            <v>2.96</v>
          </cell>
          <cell r="J120">
            <v>8.8699999999999992</v>
          </cell>
          <cell r="K120">
            <v>8.8699999999999992</v>
          </cell>
          <cell r="L120">
            <v>8.8699999999999992</v>
          </cell>
          <cell r="M120">
            <v>0.3888888888888889</v>
          </cell>
          <cell r="N120">
            <v>0.3888888888888889</v>
          </cell>
          <cell r="O120">
            <v>0.22222222222222221</v>
          </cell>
          <cell r="P120">
            <v>87</v>
          </cell>
          <cell r="Q120">
            <v>78.849999999999994</v>
          </cell>
          <cell r="R120">
            <v>7.89</v>
          </cell>
          <cell r="S120">
            <v>23.66</v>
          </cell>
          <cell r="T120">
            <v>23.66</v>
          </cell>
          <cell r="U120">
            <v>23.66</v>
          </cell>
          <cell r="V120">
            <v>0.52380952380952384</v>
          </cell>
          <cell r="W120">
            <v>0.23809523809523808</v>
          </cell>
          <cell r="X120">
            <v>0.23809523809523808</v>
          </cell>
          <cell r="Y120">
            <v>107</v>
          </cell>
        </row>
        <row r="121">
          <cell r="A121" t="str">
            <v>2024-Cruz Azul</v>
          </cell>
          <cell r="B121" t="str">
            <v>2024-Atlético San Luis</v>
          </cell>
          <cell r="C121">
            <v>2024</v>
          </cell>
          <cell r="D121" t="str">
            <v>Cruz Azul</v>
          </cell>
          <cell r="E121">
            <v>3</v>
          </cell>
          <cell r="F121">
            <v>0</v>
          </cell>
          <cell r="G121" t="str">
            <v>Atlético San Luis</v>
          </cell>
          <cell r="H121">
            <v>78.849999999999994</v>
          </cell>
          <cell r="I121">
            <v>7.89</v>
          </cell>
          <cell r="J121">
            <v>23.66</v>
          </cell>
          <cell r="K121">
            <v>23.66</v>
          </cell>
          <cell r="L121">
            <v>23.66</v>
          </cell>
          <cell r="M121">
            <v>0.7142857142857143</v>
          </cell>
          <cell r="N121">
            <v>0.23809523809523808</v>
          </cell>
          <cell r="O121">
            <v>4.7619047619047616E-2</v>
          </cell>
          <cell r="P121">
            <v>107</v>
          </cell>
          <cell r="Q121">
            <v>45.95</v>
          </cell>
          <cell r="R121">
            <v>4.5999999999999996</v>
          </cell>
          <cell r="S121">
            <v>13.84</v>
          </cell>
          <cell r="T121">
            <v>13.84</v>
          </cell>
          <cell r="U121">
            <v>13.84</v>
          </cell>
          <cell r="V121">
            <v>0.21052631578947367</v>
          </cell>
          <cell r="W121">
            <v>0.15789473684210525</v>
          </cell>
          <cell r="X121">
            <v>0.63157894736842102</v>
          </cell>
          <cell r="Y121">
            <v>59</v>
          </cell>
        </row>
        <row r="122">
          <cell r="A122" t="str">
            <v>2024-Querétaro</v>
          </cell>
          <cell r="B122" t="str">
            <v>2024-Cruz Azul</v>
          </cell>
          <cell r="C122">
            <v>2024</v>
          </cell>
          <cell r="D122" t="str">
            <v>Querétaro</v>
          </cell>
          <cell r="E122">
            <v>1</v>
          </cell>
          <cell r="F122">
            <v>3</v>
          </cell>
          <cell r="G122" t="str">
            <v>Cruz Azul</v>
          </cell>
          <cell r="H122">
            <v>17.8</v>
          </cell>
          <cell r="I122">
            <v>1.78</v>
          </cell>
          <cell r="J122">
            <v>5.34</v>
          </cell>
          <cell r="K122">
            <v>5.34</v>
          </cell>
          <cell r="L122">
            <v>5.34</v>
          </cell>
          <cell r="M122">
            <v>0.35294117647058826</v>
          </cell>
          <cell r="N122">
            <v>0.11764705882352941</v>
          </cell>
          <cell r="O122">
            <v>0.52941176470588236</v>
          </cell>
          <cell r="P122">
            <v>64</v>
          </cell>
          <cell r="Q122">
            <v>78.849999999999994</v>
          </cell>
          <cell r="R122">
            <v>7.89</v>
          </cell>
          <cell r="S122">
            <v>23.66</v>
          </cell>
          <cell r="T122">
            <v>23.66</v>
          </cell>
          <cell r="U122">
            <v>23.66</v>
          </cell>
          <cell r="V122">
            <v>0.52380952380952384</v>
          </cell>
          <cell r="W122">
            <v>0.23809523809523808</v>
          </cell>
          <cell r="X122">
            <v>0.23809523809523808</v>
          </cell>
          <cell r="Y122">
            <v>107</v>
          </cell>
        </row>
        <row r="123">
          <cell r="A123" t="str">
            <v>2024-Cruz Azul</v>
          </cell>
          <cell r="B123" t="str">
            <v>2024-Xolos</v>
          </cell>
          <cell r="C123">
            <v>2024</v>
          </cell>
          <cell r="D123" t="str">
            <v>Cruz Azul</v>
          </cell>
          <cell r="E123">
            <v>1</v>
          </cell>
          <cell r="F123">
            <v>0</v>
          </cell>
          <cell r="G123" t="str">
            <v>Xolos</v>
          </cell>
          <cell r="H123">
            <v>78.849999999999994</v>
          </cell>
          <cell r="I123">
            <v>7.89</v>
          </cell>
          <cell r="J123">
            <v>23.66</v>
          </cell>
          <cell r="K123">
            <v>23.66</v>
          </cell>
          <cell r="L123">
            <v>23.66</v>
          </cell>
          <cell r="M123">
            <v>0.7142857142857143</v>
          </cell>
          <cell r="N123">
            <v>0.23809523809523808</v>
          </cell>
          <cell r="O123">
            <v>4.7619047619047616E-2</v>
          </cell>
          <cell r="P123">
            <v>107</v>
          </cell>
          <cell r="Q123">
            <v>39.15</v>
          </cell>
          <cell r="R123">
            <v>3.92</v>
          </cell>
          <cell r="S123">
            <v>11.75</v>
          </cell>
          <cell r="T123">
            <v>11.75</v>
          </cell>
          <cell r="U123">
            <v>11.75</v>
          </cell>
          <cell r="V123">
            <v>0.27777777777777779</v>
          </cell>
          <cell r="W123">
            <v>0.22222222222222221</v>
          </cell>
          <cell r="X123">
            <v>0.5</v>
          </cell>
          <cell r="Y123">
            <v>49</v>
          </cell>
        </row>
        <row r="124">
          <cell r="A124" t="str">
            <v>2024-Cruz Azul</v>
          </cell>
          <cell r="B124" t="str">
            <v>2024-Mazatlán</v>
          </cell>
          <cell r="C124">
            <v>2024</v>
          </cell>
          <cell r="D124" t="str">
            <v>Cruz Azul</v>
          </cell>
          <cell r="E124">
            <v>2</v>
          </cell>
          <cell r="F124">
            <v>1</v>
          </cell>
          <cell r="G124" t="str">
            <v>Mazatlán</v>
          </cell>
          <cell r="H124">
            <v>78.849999999999994</v>
          </cell>
          <cell r="I124">
            <v>7.89</v>
          </cell>
          <cell r="J124">
            <v>23.66</v>
          </cell>
          <cell r="K124">
            <v>23.66</v>
          </cell>
          <cell r="L124">
            <v>23.66</v>
          </cell>
          <cell r="M124">
            <v>0.7142857142857143</v>
          </cell>
          <cell r="N124">
            <v>0.23809523809523808</v>
          </cell>
          <cell r="O124">
            <v>4.7619047619047616E-2</v>
          </cell>
          <cell r="P124">
            <v>107</v>
          </cell>
          <cell r="Q124">
            <v>31.45</v>
          </cell>
          <cell r="R124">
            <v>3.15</v>
          </cell>
          <cell r="S124">
            <v>9.44</v>
          </cell>
          <cell r="T124">
            <v>9.44</v>
          </cell>
          <cell r="U124">
            <v>9.44</v>
          </cell>
          <cell r="V124">
            <v>5.8823529411764705E-2</v>
          </cell>
          <cell r="W124">
            <v>0.29411764705882354</v>
          </cell>
          <cell r="X124">
            <v>0.6470588235294118</v>
          </cell>
          <cell r="Y124">
            <v>40</v>
          </cell>
        </row>
        <row r="125">
          <cell r="A125" t="str">
            <v>2024-Juarez</v>
          </cell>
          <cell r="B125" t="str">
            <v>2024-Cruz Azul</v>
          </cell>
          <cell r="C125">
            <v>2024</v>
          </cell>
          <cell r="D125" t="str">
            <v>Juarez</v>
          </cell>
          <cell r="E125">
            <v>0</v>
          </cell>
          <cell r="F125">
            <v>0</v>
          </cell>
          <cell r="G125" t="str">
            <v>Cruz Azul</v>
          </cell>
          <cell r="H125" t="str">
            <v>NULL</v>
          </cell>
          <cell r="I125" t="str">
            <v>NULL</v>
          </cell>
          <cell r="J125" t="str">
            <v>NULL</v>
          </cell>
          <cell r="K125" t="str">
            <v>NULL</v>
          </cell>
          <cell r="L125" t="str">
            <v>NULL</v>
          </cell>
          <cell r="M125">
            <v>0.27777777777777779</v>
          </cell>
          <cell r="N125">
            <v>0.33333333333333331</v>
          </cell>
          <cell r="O125">
            <v>0.3888888888888889</v>
          </cell>
          <cell r="P125">
            <v>55</v>
          </cell>
          <cell r="Q125">
            <v>78.849999999999994</v>
          </cell>
          <cell r="R125">
            <v>7.89</v>
          </cell>
          <cell r="S125">
            <v>23.66</v>
          </cell>
          <cell r="T125">
            <v>23.66</v>
          </cell>
          <cell r="U125">
            <v>23.66</v>
          </cell>
          <cell r="V125">
            <v>0.52380952380952384</v>
          </cell>
          <cell r="W125">
            <v>0.23809523809523808</v>
          </cell>
          <cell r="X125">
            <v>0.23809523809523808</v>
          </cell>
          <cell r="Y125">
            <v>107</v>
          </cell>
        </row>
        <row r="126">
          <cell r="A126" t="str">
            <v>2024-Cruz Azul</v>
          </cell>
          <cell r="B126" t="str">
            <v>2024-Pachuca</v>
          </cell>
          <cell r="C126">
            <v>2024</v>
          </cell>
          <cell r="D126" t="str">
            <v>Cruz Azul</v>
          </cell>
          <cell r="E126">
            <v>0</v>
          </cell>
          <cell r="F126">
            <v>1</v>
          </cell>
          <cell r="G126" t="str">
            <v>Pachuca</v>
          </cell>
          <cell r="H126">
            <v>78.849999999999994</v>
          </cell>
          <cell r="I126">
            <v>7.89</v>
          </cell>
          <cell r="J126">
            <v>23.66</v>
          </cell>
          <cell r="K126">
            <v>23.66</v>
          </cell>
          <cell r="L126">
            <v>23.66</v>
          </cell>
          <cell r="M126">
            <v>0.7142857142857143</v>
          </cell>
          <cell r="N126">
            <v>0.23809523809523808</v>
          </cell>
          <cell r="O126">
            <v>4.7619047619047616E-2</v>
          </cell>
          <cell r="P126">
            <v>107</v>
          </cell>
          <cell r="Q126">
            <v>56.6</v>
          </cell>
          <cell r="R126">
            <v>5.66</v>
          </cell>
          <cell r="S126">
            <v>16.98</v>
          </cell>
          <cell r="T126">
            <v>16.98</v>
          </cell>
          <cell r="U126">
            <v>16.98</v>
          </cell>
          <cell r="V126">
            <v>0.26315789473684209</v>
          </cell>
          <cell r="W126">
            <v>0.15789473684210525</v>
          </cell>
          <cell r="X126">
            <v>0.57894736842105265</v>
          </cell>
          <cell r="Y126">
            <v>98</v>
          </cell>
        </row>
        <row r="127">
          <cell r="A127" t="str">
            <v>2023-Cruz Azul</v>
          </cell>
          <cell r="B127" t="str">
            <v>2023-Puebla</v>
          </cell>
          <cell r="C127">
            <v>2023</v>
          </cell>
          <cell r="D127" t="str">
            <v>Cruz Azul</v>
          </cell>
          <cell r="E127">
            <v>1</v>
          </cell>
          <cell r="F127">
            <v>2</v>
          </cell>
          <cell r="G127" t="str">
            <v>Puebla</v>
          </cell>
          <cell r="H127">
            <v>72.2</v>
          </cell>
          <cell r="I127">
            <v>7.22</v>
          </cell>
          <cell r="J127">
            <v>21.66</v>
          </cell>
          <cell r="K127">
            <v>21.66</v>
          </cell>
          <cell r="L127">
            <v>21.66</v>
          </cell>
          <cell r="M127">
            <v>0.7142857142857143</v>
          </cell>
          <cell r="N127">
            <v>0.23809523809523808</v>
          </cell>
          <cell r="O127">
            <v>4.7619047619047616E-2</v>
          </cell>
          <cell r="P127">
            <v>107</v>
          </cell>
          <cell r="Q127">
            <v>26.7</v>
          </cell>
          <cell r="R127">
            <v>2.67</v>
          </cell>
          <cell r="S127">
            <v>8.01</v>
          </cell>
          <cell r="T127">
            <v>8.01</v>
          </cell>
          <cell r="U127">
            <v>8.01</v>
          </cell>
          <cell r="V127">
            <v>0.11764705882352941</v>
          </cell>
          <cell r="W127">
            <v>0.17647058823529413</v>
          </cell>
          <cell r="X127">
            <v>0.70588235294117652</v>
          </cell>
          <cell r="Y127">
            <v>34</v>
          </cell>
        </row>
        <row r="128">
          <cell r="A128" t="str">
            <v>2023-Chivas</v>
          </cell>
          <cell r="B128" t="str">
            <v>2023-Cruz Azul</v>
          </cell>
          <cell r="C128">
            <v>2023</v>
          </cell>
          <cell r="D128" t="str">
            <v>Chivas</v>
          </cell>
          <cell r="E128">
            <v>1</v>
          </cell>
          <cell r="F128">
            <v>0</v>
          </cell>
          <cell r="G128" t="str">
            <v>Cruz Azul</v>
          </cell>
          <cell r="H128">
            <v>69.7</v>
          </cell>
          <cell r="I128">
            <v>6.97</v>
          </cell>
          <cell r="J128">
            <v>20.91</v>
          </cell>
          <cell r="K128">
            <v>20.91</v>
          </cell>
          <cell r="L128">
            <v>20.91</v>
          </cell>
          <cell r="M128">
            <v>0.44444444444444442</v>
          </cell>
          <cell r="N128">
            <v>0.33333333333333331</v>
          </cell>
          <cell r="O128">
            <v>0.22222222222222221</v>
          </cell>
          <cell r="P128">
            <v>99</v>
          </cell>
          <cell r="Q128">
            <v>72.2</v>
          </cell>
          <cell r="R128">
            <v>7.22</v>
          </cell>
          <cell r="S128">
            <v>21.66</v>
          </cell>
          <cell r="T128">
            <v>21.66</v>
          </cell>
          <cell r="U128">
            <v>21.66</v>
          </cell>
          <cell r="V128">
            <v>0.52380952380952384</v>
          </cell>
          <cell r="W128">
            <v>0.23809523809523808</v>
          </cell>
          <cell r="X128">
            <v>0.23809523809523808</v>
          </cell>
          <cell r="Y128">
            <v>107</v>
          </cell>
        </row>
        <row r="129">
          <cell r="A129" t="str">
            <v>2023-Cruz Azul</v>
          </cell>
          <cell r="B129" t="str">
            <v>2023-Juarez</v>
          </cell>
          <cell r="C129">
            <v>2023</v>
          </cell>
          <cell r="D129" t="str">
            <v>Cruz Azul</v>
          </cell>
          <cell r="E129">
            <v>2</v>
          </cell>
          <cell r="F129">
            <v>0</v>
          </cell>
          <cell r="G129" t="str">
            <v>Juarez</v>
          </cell>
          <cell r="H129">
            <v>72.2</v>
          </cell>
          <cell r="I129">
            <v>7.22</v>
          </cell>
          <cell r="J129">
            <v>21.66</v>
          </cell>
          <cell r="K129">
            <v>21.66</v>
          </cell>
          <cell r="L129">
            <v>21.66</v>
          </cell>
          <cell r="M129">
            <v>0.7142857142857143</v>
          </cell>
          <cell r="N129">
            <v>0.23809523809523808</v>
          </cell>
          <cell r="O129">
            <v>4.7619047619047616E-2</v>
          </cell>
          <cell r="P129">
            <v>107</v>
          </cell>
          <cell r="Q129" t="str">
            <v>NULL</v>
          </cell>
          <cell r="R129" t="str">
            <v>NULL</v>
          </cell>
          <cell r="S129" t="str">
            <v>NULL</v>
          </cell>
          <cell r="T129" t="str">
            <v>NULL</v>
          </cell>
          <cell r="U129" t="str">
            <v>NULL</v>
          </cell>
          <cell r="V129">
            <v>0.35294117647058826</v>
          </cell>
          <cell r="W129">
            <v>0.17647058823529413</v>
          </cell>
          <cell r="X129">
            <v>0.47058823529411764</v>
          </cell>
          <cell r="Y129">
            <v>55</v>
          </cell>
        </row>
        <row r="130">
          <cell r="A130" t="str">
            <v>2023-Cruz Azul</v>
          </cell>
          <cell r="B130" t="str">
            <v>2023-León</v>
          </cell>
          <cell r="C130">
            <v>2023</v>
          </cell>
          <cell r="D130" t="str">
            <v>Cruz Azul</v>
          </cell>
          <cell r="E130">
            <v>1</v>
          </cell>
          <cell r="F130">
            <v>0</v>
          </cell>
          <cell r="G130" t="str">
            <v>León</v>
          </cell>
          <cell r="H130">
            <v>72.2</v>
          </cell>
          <cell r="I130">
            <v>7.22</v>
          </cell>
          <cell r="J130">
            <v>21.66</v>
          </cell>
          <cell r="K130">
            <v>21.66</v>
          </cell>
          <cell r="L130">
            <v>21.66</v>
          </cell>
          <cell r="M130">
            <v>0.7142857142857143</v>
          </cell>
          <cell r="N130">
            <v>0.23809523809523808</v>
          </cell>
          <cell r="O130">
            <v>4.7619047619047616E-2</v>
          </cell>
          <cell r="P130">
            <v>107</v>
          </cell>
          <cell r="Q130">
            <v>41.5</v>
          </cell>
          <cell r="R130">
            <v>4.1500000000000004</v>
          </cell>
          <cell r="S130">
            <v>12.45</v>
          </cell>
          <cell r="T130">
            <v>12.45</v>
          </cell>
          <cell r="U130">
            <v>12.45</v>
          </cell>
          <cell r="V130">
            <v>0.27777777777777779</v>
          </cell>
          <cell r="W130">
            <v>0.27777777777777779</v>
          </cell>
          <cell r="X130">
            <v>0.44444444444444442</v>
          </cell>
          <cell r="Y130">
            <v>87</v>
          </cell>
        </row>
        <row r="131">
          <cell r="A131" t="str">
            <v>2023-Tigres</v>
          </cell>
          <cell r="B131" t="str">
            <v>2023-Cruz Azul</v>
          </cell>
          <cell r="C131">
            <v>2023</v>
          </cell>
          <cell r="D131" t="str">
            <v>Tigres</v>
          </cell>
          <cell r="E131">
            <v>2</v>
          </cell>
          <cell r="F131">
            <v>1</v>
          </cell>
          <cell r="G131" t="str">
            <v>Cruz Azul</v>
          </cell>
          <cell r="H131">
            <v>67.599999999999994</v>
          </cell>
          <cell r="I131">
            <v>6.76</v>
          </cell>
          <cell r="J131">
            <v>20.28</v>
          </cell>
          <cell r="K131">
            <v>20.28</v>
          </cell>
          <cell r="L131">
            <v>20.28</v>
          </cell>
          <cell r="M131">
            <v>0.7</v>
          </cell>
          <cell r="N131">
            <v>0.25</v>
          </cell>
          <cell r="O131">
            <v>0.05</v>
          </cell>
          <cell r="P131">
            <v>107</v>
          </cell>
          <cell r="Q131">
            <v>72.2</v>
          </cell>
          <cell r="R131">
            <v>7.22</v>
          </cell>
          <cell r="S131">
            <v>21.66</v>
          </cell>
          <cell r="T131">
            <v>21.66</v>
          </cell>
          <cell r="U131">
            <v>21.66</v>
          </cell>
          <cell r="V131">
            <v>0.52380952380952384</v>
          </cell>
          <cell r="W131">
            <v>0.23809523809523808</v>
          </cell>
          <cell r="X131">
            <v>0.23809523809523808</v>
          </cell>
          <cell r="Y131">
            <v>107</v>
          </cell>
        </row>
        <row r="132">
          <cell r="A132" t="str">
            <v>2023-Cruz Azul</v>
          </cell>
          <cell r="B132" t="str">
            <v>2023-Pumas</v>
          </cell>
          <cell r="C132">
            <v>2023</v>
          </cell>
          <cell r="D132" t="str">
            <v>Cruz Azul</v>
          </cell>
          <cell r="E132">
            <v>1</v>
          </cell>
          <cell r="F132">
            <v>4</v>
          </cell>
          <cell r="G132" t="str">
            <v>Pumas</v>
          </cell>
          <cell r="H132">
            <v>72.2</v>
          </cell>
          <cell r="I132">
            <v>7.22</v>
          </cell>
          <cell r="J132">
            <v>21.66</v>
          </cell>
          <cell r="K132">
            <v>21.66</v>
          </cell>
          <cell r="L132">
            <v>21.66</v>
          </cell>
          <cell r="M132">
            <v>0.7142857142857143</v>
          </cell>
          <cell r="N132">
            <v>0.23809523809523808</v>
          </cell>
          <cell r="O132">
            <v>4.7619047619047616E-2</v>
          </cell>
          <cell r="P132">
            <v>107</v>
          </cell>
          <cell r="Q132" t="str">
            <v>NULL</v>
          </cell>
          <cell r="R132" t="str">
            <v>NULL</v>
          </cell>
          <cell r="S132" t="str">
            <v>NULL</v>
          </cell>
          <cell r="T132" t="str">
            <v>NULL</v>
          </cell>
          <cell r="U132" t="str">
            <v>NULL</v>
          </cell>
          <cell r="V132">
            <v>0.3</v>
          </cell>
          <cell r="W132">
            <v>0.25</v>
          </cell>
          <cell r="X132">
            <v>0.45</v>
          </cell>
          <cell r="Y132">
            <v>75</v>
          </cell>
        </row>
        <row r="133">
          <cell r="A133" t="str">
            <v>2023-Necaxa</v>
          </cell>
          <cell r="B133" t="str">
            <v>2023-Cruz Azul</v>
          </cell>
          <cell r="C133">
            <v>2023</v>
          </cell>
          <cell r="D133" t="str">
            <v>Necaxa</v>
          </cell>
          <cell r="E133">
            <v>1</v>
          </cell>
          <cell r="F133">
            <v>3</v>
          </cell>
          <cell r="G133" t="str">
            <v>Cruz Azul</v>
          </cell>
          <cell r="H133">
            <v>40</v>
          </cell>
          <cell r="I133">
            <v>4</v>
          </cell>
          <cell r="J133">
            <v>12</v>
          </cell>
          <cell r="K133">
            <v>12</v>
          </cell>
          <cell r="L133">
            <v>12</v>
          </cell>
          <cell r="M133">
            <v>0.44444444444444442</v>
          </cell>
          <cell r="N133">
            <v>0.22222222222222221</v>
          </cell>
          <cell r="O133">
            <v>0.33333333333333331</v>
          </cell>
          <cell r="P133">
            <v>77</v>
          </cell>
          <cell r="Q133">
            <v>72.2</v>
          </cell>
          <cell r="R133">
            <v>7.22</v>
          </cell>
          <cell r="S133">
            <v>21.66</v>
          </cell>
          <cell r="T133">
            <v>21.66</v>
          </cell>
          <cell r="U133">
            <v>21.66</v>
          </cell>
          <cell r="V133">
            <v>0.52380952380952384</v>
          </cell>
          <cell r="W133">
            <v>0.23809523809523808</v>
          </cell>
          <cell r="X133">
            <v>0.23809523809523808</v>
          </cell>
          <cell r="Y133">
            <v>107</v>
          </cell>
        </row>
        <row r="134">
          <cell r="A134" t="str">
            <v>2023-Atlético San Luis</v>
          </cell>
          <cell r="B134" t="str">
            <v>2023-Cruz Azul</v>
          </cell>
          <cell r="C134">
            <v>2023</v>
          </cell>
          <cell r="D134" t="str">
            <v>Atlético San Luis</v>
          </cell>
          <cell r="E134">
            <v>1</v>
          </cell>
          <cell r="F134">
            <v>2</v>
          </cell>
          <cell r="G134" t="str">
            <v>Cruz Azul</v>
          </cell>
          <cell r="H134">
            <v>35.85</v>
          </cell>
          <cell r="I134">
            <v>3.59</v>
          </cell>
          <cell r="J134">
            <v>10.77</v>
          </cell>
          <cell r="K134">
            <v>10.77</v>
          </cell>
          <cell r="L134">
            <v>10.77</v>
          </cell>
          <cell r="M134">
            <v>0.68421052631578949</v>
          </cell>
          <cell r="N134">
            <v>5.2631578947368418E-2</v>
          </cell>
          <cell r="O134">
            <v>0.26315789473684209</v>
          </cell>
          <cell r="P134">
            <v>59</v>
          </cell>
          <cell r="Q134">
            <v>72.2</v>
          </cell>
          <cell r="R134">
            <v>7.22</v>
          </cell>
          <cell r="S134">
            <v>21.66</v>
          </cell>
          <cell r="T134">
            <v>21.66</v>
          </cell>
          <cell r="U134">
            <v>21.66</v>
          </cell>
          <cell r="V134">
            <v>0.52380952380952384</v>
          </cell>
          <cell r="W134">
            <v>0.23809523809523808</v>
          </cell>
          <cell r="X134">
            <v>0.23809523809523808</v>
          </cell>
          <cell r="Y134">
            <v>107</v>
          </cell>
        </row>
        <row r="135">
          <cell r="A135" t="str">
            <v>2023-Cruz Azul</v>
          </cell>
          <cell r="B135" t="str">
            <v>2023-Querétaro</v>
          </cell>
          <cell r="C135">
            <v>2023</v>
          </cell>
          <cell r="D135" t="str">
            <v>Cruz Azul</v>
          </cell>
          <cell r="E135">
            <v>1</v>
          </cell>
          <cell r="F135">
            <v>3</v>
          </cell>
          <cell r="G135" t="str">
            <v>Querétaro</v>
          </cell>
          <cell r="H135">
            <v>72.2</v>
          </cell>
          <cell r="I135">
            <v>7.22</v>
          </cell>
          <cell r="J135">
            <v>21.66</v>
          </cell>
          <cell r="K135">
            <v>21.66</v>
          </cell>
          <cell r="L135">
            <v>21.66</v>
          </cell>
          <cell r="M135">
            <v>0.7142857142857143</v>
          </cell>
          <cell r="N135">
            <v>0.23809523809523808</v>
          </cell>
          <cell r="O135">
            <v>4.7619047619047616E-2</v>
          </cell>
          <cell r="P135">
            <v>107</v>
          </cell>
          <cell r="Q135" t="str">
            <v>NULL</v>
          </cell>
          <cell r="R135" t="str">
            <v>NULL</v>
          </cell>
          <cell r="S135" t="str">
            <v>NULL</v>
          </cell>
          <cell r="T135" t="str">
            <v>NULL</v>
          </cell>
          <cell r="U135" t="str">
            <v>NULL</v>
          </cell>
          <cell r="V135">
            <v>0.17647058823529413</v>
          </cell>
          <cell r="W135">
            <v>0.17647058823529413</v>
          </cell>
          <cell r="X135">
            <v>0.6470588235294118</v>
          </cell>
          <cell r="Y135">
            <v>64</v>
          </cell>
        </row>
        <row r="136">
          <cell r="A136" t="str">
            <v>2023-Mazatlán</v>
          </cell>
          <cell r="B136" t="str">
            <v>2023-Cruz Azul</v>
          </cell>
          <cell r="C136">
            <v>2023</v>
          </cell>
          <cell r="D136" t="str">
            <v>Mazatlán</v>
          </cell>
          <cell r="E136">
            <v>2</v>
          </cell>
          <cell r="F136">
            <v>2</v>
          </cell>
          <cell r="G136" t="str">
            <v>Cruz Azul</v>
          </cell>
          <cell r="H136">
            <v>35.049999999999997</v>
          </cell>
          <cell r="I136">
            <v>3.5</v>
          </cell>
          <cell r="J136">
            <v>10.51</v>
          </cell>
          <cell r="K136">
            <v>10.51</v>
          </cell>
          <cell r="L136">
            <v>10.51</v>
          </cell>
          <cell r="M136">
            <v>0.29411764705882354</v>
          </cell>
          <cell r="N136">
            <v>0.47058823529411764</v>
          </cell>
          <cell r="O136">
            <v>0.23529411764705882</v>
          </cell>
          <cell r="P136">
            <v>40</v>
          </cell>
          <cell r="Q136">
            <v>72.2</v>
          </cell>
          <cell r="R136">
            <v>7.22</v>
          </cell>
          <cell r="S136">
            <v>21.66</v>
          </cell>
          <cell r="T136">
            <v>21.66</v>
          </cell>
          <cell r="U136">
            <v>21.66</v>
          </cell>
          <cell r="V136">
            <v>0.52380952380952384</v>
          </cell>
          <cell r="W136">
            <v>0.23809523809523808</v>
          </cell>
          <cell r="X136">
            <v>0.23809523809523808</v>
          </cell>
          <cell r="Y136">
            <v>107</v>
          </cell>
        </row>
        <row r="137">
          <cell r="A137" t="str">
            <v>2023-Monterrey</v>
          </cell>
          <cell r="B137" t="str">
            <v>2023-Cruz Azul</v>
          </cell>
          <cell r="C137">
            <v>2023</v>
          </cell>
          <cell r="D137" t="str">
            <v>Monterrey</v>
          </cell>
          <cell r="E137">
            <v>1</v>
          </cell>
          <cell r="F137">
            <v>2</v>
          </cell>
          <cell r="G137" t="str">
            <v>Cruz Azul</v>
          </cell>
          <cell r="H137">
            <v>88.1</v>
          </cell>
          <cell r="I137">
            <v>8.81</v>
          </cell>
          <cell r="J137">
            <v>26.43</v>
          </cell>
          <cell r="K137">
            <v>26.43</v>
          </cell>
          <cell r="L137">
            <v>26.43</v>
          </cell>
          <cell r="M137">
            <v>0.60869565217391308</v>
          </cell>
          <cell r="N137">
            <v>0.17391304347826086</v>
          </cell>
          <cell r="O137">
            <v>0.21739130434782608</v>
          </cell>
          <cell r="P137">
            <v>118</v>
          </cell>
          <cell r="Q137">
            <v>72.2</v>
          </cell>
          <cell r="R137">
            <v>7.22</v>
          </cell>
          <cell r="S137">
            <v>21.66</v>
          </cell>
          <cell r="T137">
            <v>21.66</v>
          </cell>
          <cell r="U137">
            <v>21.66</v>
          </cell>
          <cell r="V137">
            <v>0.52380952380952384</v>
          </cell>
          <cell r="W137">
            <v>0.23809523809523808</v>
          </cell>
          <cell r="X137">
            <v>0.23809523809523808</v>
          </cell>
          <cell r="Y137">
            <v>107</v>
          </cell>
        </row>
        <row r="138">
          <cell r="A138" t="str">
            <v>2023-Pachuca</v>
          </cell>
          <cell r="B138" t="str">
            <v>2023-Cruz Azul</v>
          </cell>
          <cell r="C138">
            <v>2023</v>
          </cell>
          <cell r="D138" t="str">
            <v>Pachuca</v>
          </cell>
          <cell r="E138">
            <v>1</v>
          </cell>
          <cell r="F138">
            <v>0</v>
          </cell>
          <cell r="G138" t="str">
            <v>Cruz Azul</v>
          </cell>
          <cell r="H138">
            <v>51.25</v>
          </cell>
          <cell r="I138">
            <v>5.13</v>
          </cell>
          <cell r="J138">
            <v>15.38</v>
          </cell>
          <cell r="K138">
            <v>15.38</v>
          </cell>
          <cell r="L138">
            <v>15.38</v>
          </cell>
          <cell r="M138">
            <v>0.3888888888888889</v>
          </cell>
          <cell r="N138">
            <v>0.33333333333333331</v>
          </cell>
          <cell r="O138">
            <v>0.27777777777777779</v>
          </cell>
          <cell r="P138">
            <v>98</v>
          </cell>
          <cell r="Q138">
            <v>72.2</v>
          </cell>
          <cell r="R138">
            <v>7.22</v>
          </cell>
          <cell r="S138">
            <v>21.66</v>
          </cell>
          <cell r="T138">
            <v>21.66</v>
          </cell>
          <cell r="U138">
            <v>21.66</v>
          </cell>
          <cell r="V138">
            <v>0.52380952380952384</v>
          </cell>
          <cell r="W138">
            <v>0.23809523809523808</v>
          </cell>
          <cell r="X138">
            <v>0.23809523809523808</v>
          </cell>
          <cell r="Y138">
            <v>107</v>
          </cell>
        </row>
        <row r="139">
          <cell r="A139" t="str">
            <v>2023-Cruz Azul</v>
          </cell>
          <cell r="B139" t="str">
            <v>2023-Santos Laguna</v>
          </cell>
          <cell r="C139">
            <v>2023</v>
          </cell>
          <cell r="D139" t="str">
            <v>Cruz Azul</v>
          </cell>
          <cell r="E139">
            <v>2</v>
          </cell>
          <cell r="F139">
            <v>2</v>
          </cell>
          <cell r="G139" t="str">
            <v>Santos Laguna</v>
          </cell>
          <cell r="H139">
            <v>72.2</v>
          </cell>
          <cell r="I139">
            <v>7.22</v>
          </cell>
          <cell r="J139">
            <v>21.66</v>
          </cell>
          <cell r="K139">
            <v>21.66</v>
          </cell>
          <cell r="L139">
            <v>21.66</v>
          </cell>
          <cell r="M139">
            <v>0.7142857142857143</v>
          </cell>
          <cell r="N139">
            <v>0.23809523809523808</v>
          </cell>
          <cell r="O139">
            <v>4.7619047619047616E-2</v>
          </cell>
          <cell r="P139">
            <v>107</v>
          </cell>
          <cell r="Q139" t="str">
            <v>NULL</v>
          </cell>
          <cell r="R139" t="str">
            <v>NULL</v>
          </cell>
          <cell r="S139" t="str">
            <v>NULL</v>
          </cell>
          <cell r="T139" t="str">
            <v>NULL</v>
          </cell>
          <cell r="U139" t="str">
            <v>NULL</v>
          </cell>
          <cell r="V139">
            <v>0</v>
          </cell>
          <cell r="W139">
            <v>0.11764705882352941</v>
          </cell>
          <cell r="X139">
            <v>0.88235294117647056</v>
          </cell>
          <cell r="Y139">
            <v>46</v>
          </cell>
        </row>
        <row r="140">
          <cell r="A140" t="str">
            <v>2023-Xolos</v>
          </cell>
          <cell r="B140" t="str">
            <v>2023-Cruz Azul</v>
          </cell>
          <cell r="C140">
            <v>2023</v>
          </cell>
          <cell r="D140" t="str">
            <v>Xolos</v>
          </cell>
          <cell r="E140">
            <v>2</v>
          </cell>
          <cell r="F140">
            <v>1</v>
          </cell>
          <cell r="G140" t="str">
            <v>Cruz Azul</v>
          </cell>
          <cell r="H140">
            <v>38.299999999999997</v>
          </cell>
          <cell r="I140">
            <v>3.83</v>
          </cell>
          <cell r="J140">
            <v>11.49</v>
          </cell>
          <cell r="K140">
            <v>11.49</v>
          </cell>
          <cell r="L140">
            <v>11.49</v>
          </cell>
          <cell r="M140">
            <v>0.55000000000000004</v>
          </cell>
          <cell r="N140">
            <v>0.15</v>
          </cell>
          <cell r="O140">
            <v>0.3</v>
          </cell>
          <cell r="P140">
            <v>49</v>
          </cell>
          <cell r="Q140">
            <v>72.2</v>
          </cell>
          <cell r="R140">
            <v>7.22</v>
          </cell>
          <cell r="S140">
            <v>21.66</v>
          </cell>
          <cell r="T140">
            <v>21.66</v>
          </cell>
          <cell r="U140">
            <v>21.66</v>
          </cell>
          <cell r="V140">
            <v>0.52380952380952384</v>
          </cell>
          <cell r="W140">
            <v>0.23809523809523808</v>
          </cell>
          <cell r="X140">
            <v>0.23809523809523808</v>
          </cell>
          <cell r="Y140">
            <v>107</v>
          </cell>
        </row>
        <row r="141">
          <cell r="A141" t="str">
            <v>2024-América</v>
          </cell>
          <cell r="B141" t="str">
            <v>2024-Chivas</v>
          </cell>
          <cell r="C141">
            <v>2024</v>
          </cell>
          <cell r="D141" t="str">
            <v>América</v>
          </cell>
          <cell r="E141">
            <v>1</v>
          </cell>
          <cell r="F141">
            <v>0</v>
          </cell>
          <cell r="G141" t="str">
            <v>Chivas</v>
          </cell>
          <cell r="H141">
            <v>92.45</v>
          </cell>
          <cell r="I141">
            <v>9.25</v>
          </cell>
          <cell r="J141">
            <v>27.73</v>
          </cell>
          <cell r="K141">
            <v>27.73</v>
          </cell>
          <cell r="L141">
            <v>27.73</v>
          </cell>
          <cell r="M141">
            <v>0.65217391304347827</v>
          </cell>
          <cell r="N141">
            <v>0.21739130434782608</v>
          </cell>
          <cell r="O141">
            <v>0.13043478260869565</v>
          </cell>
          <cell r="P141">
            <v>133</v>
          </cell>
          <cell r="Q141" t="str">
            <v>NULL</v>
          </cell>
          <cell r="R141" t="str">
            <v>NULL</v>
          </cell>
          <cell r="S141" t="str">
            <v>NULL</v>
          </cell>
          <cell r="T141" t="str">
            <v>NULL</v>
          </cell>
          <cell r="U141" t="str">
            <v>NULL</v>
          </cell>
          <cell r="V141">
            <v>0.23529411764705882</v>
          </cell>
          <cell r="W141">
            <v>0.23529411764705882</v>
          </cell>
          <cell r="X141">
            <v>0.52941176470588236</v>
          </cell>
          <cell r="Y141">
            <v>99</v>
          </cell>
        </row>
        <row r="142">
          <cell r="A142" t="str">
            <v>2024-Chivas</v>
          </cell>
          <cell r="B142" t="str">
            <v>2024-América</v>
          </cell>
          <cell r="C142">
            <v>2024</v>
          </cell>
          <cell r="D142" t="str">
            <v>Chivas</v>
          </cell>
          <cell r="E142">
            <v>0</v>
          </cell>
          <cell r="F142">
            <v>0</v>
          </cell>
          <cell r="G142" t="str">
            <v>América</v>
          </cell>
          <cell r="H142">
            <v>70.2</v>
          </cell>
          <cell r="I142">
            <v>7.02</v>
          </cell>
          <cell r="J142">
            <v>21.06</v>
          </cell>
          <cell r="K142">
            <v>21.06</v>
          </cell>
          <cell r="L142">
            <v>21.06</v>
          </cell>
          <cell r="M142">
            <v>0.44444444444444442</v>
          </cell>
          <cell r="N142">
            <v>0.33333333333333331</v>
          </cell>
          <cell r="O142">
            <v>0.22222222222222221</v>
          </cell>
          <cell r="P142">
            <v>99</v>
          </cell>
          <cell r="Q142">
            <v>92.45</v>
          </cell>
          <cell r="R142">
            <v>9.25</v>
          </cell>
          <cell r="S142">
            <v>27.73</v>
          </cell>
          <cell r="T142">
            <v>27.73</v>
          </cell>
          <cell r="U142">
            <v>27.73</v>
          </cell>
          <cell r="V142">
            <v>0.375</v>
          </cell>
          <cell r="W142">
            <v>0.29166666666666669</v>
          </cell>
          <cell r="X142">
            <v>0.33333333333333331</v>
          </cell>
          <cell r="Y142">
            <v>133</v>
          </cell>
        </row>
        <row r="143">
          <cell r="A143" t="str">
            <v>2024-Chivas</v>
          </cell>
          <cell r="B143" t="str">
            <v>2024-Toluca</v>
          </cell>
          <cell r="C143">
            <v>2024</v>
          </cell>
          <cell r="D143" t="str">
            <v>Chivas</v>
          </cell>
          <cell r="E143">
            <v>1</v>
          </cell>
          <cell r="F143">
            <v>0</v>
          </cell>
          <cell r="G143" t="str">
            <v>Toluca</v>
          </cell>
          <cell r="H143">
            <v>70.2</v>
          </cell>
          <cell r="I143">
            <v>7.02</v>
          </cell>
          <cell r="J143">
            <v>21.06</v>
          </cell>
          <cell r="K143">
            <v>21.06</v>
          </cell>
          <cell r="L143">
            <v>21.06</v>
          </cell>
          <cell r="M143">
            <v>0.44444444444444442</v>
          </cell>
          <cell r="N143">
            <v>0.33333333333333331</v>
          </cell>
          <cell r="O143">
            <v>0.22222222222222221</v>
          </cell>
          <cell r="P143">
            <v>99</v>
          </cell>
          <cell r="Q143">
            <v>77.45</v>
          </cell>
          <cell r="R143">
            <v>7.75</v>
          </cell>
          <cell r="S143">
            <v>23.24</v>
          </cell>
          <cell r="T143">
            <v>23.24</v>
          </cell>
          <cell r="U143">
            <v>23.24</v>
          </cell>
          <cell r="V143">
            <v>0.38095238095238093</v>
          </cell>
          <cell r="W143">
            <v>0.33333333333333331</v>
          </cell>
          <cell r="X143">
            <v>0.2857142857142857</v>
          </cell>
          <cell r="Y143">
            <v>118</v>
          </cell>
        </row>
        <row r="144">
          <cell r="A144" t="str">
            <v>2024-Atlas</v>
          </cell>
          <cell r="B144" t="str">
            <v>2024-Chivas</v>
          </cell>
          <cell r="C144">
            <v>2024</v>
          </cell>
          <cell r="D144" t="str">
            <v>Atlas</v>
          </cell>
          <cell r="E144">
            <v>0</v>
          </cell>
          <cell r="F144">
            <v>1</v>
          </cell>
          <cell r="G144" t="str">
            <v>Chivas</v>
          </cell>
          <cell r="H144">
            <v>28.95</v>
          </cell>
          <cell r="I144">
            <v>2.9</v>
          </cell>
          <cell r="J144">
            <v>8.68</v>
          </cell>
          <cell r="K144">
            <v>8.68</v>
          </cell>
          <cell r="L144">
            <v>8.68</v>
          </cell>
          <cell r="M144" t="str">
            <v>NULL</v>
          </cell>
          <cell r="N144" t="str">
            <v>NULL</v>
          </cell>
          <cell r="O144" t="str">
            <v>NULL</v>
          </cell>
          <cell r="P144">
            <v>60</v>
          </cell>
          <cell r="Q144" t="str">
            <v>NULL</v>
          </cell>
          <cell r="R144" t="str">
            <v>NULL</v>
          </cell>
          <cell r="S144" t="str">
            <v>NULL</v>
          </cell>
          <cell r="T144" t="str">
            <v>NULL</v>
          </cell>
          <cell r="U144" t="str">
            <v>NULL</v>
          </cell>
          <cell r="V144">
            <v>0.23529411764705882</v>
          </cell>
          <cell r="W144">
            <v>0.23529411764705882</v>
          </cell>
          <cell r="X144">
            <v>0.52941176470588236</v>
          </cell>
          <cell r="Y144">
            <v>99</v>
          </cell>
        </row>
        <row r="145">
          <cell r="A145" t="str">
            <v>2024-Chivas</v>
          </cell>
          <cell r="B145" t="str">
            <v>2024-Querétaro</v>
          </cell>
          <cell r="C145">
            <v>2024</v>
          </cell>
          <cell r="D145" t="str">
            <v>Chivas</v>
          </cell>
          <cell r="E145">
            <v>2</v>
          </cell>
          <cell r="F145">
            <v>0</v>
          </cell>
          <cell r="G145" t="str">
            <v>Querétaro</v>
          </cell>
          <cell r="H145">
            <v>70.2</v>
          </cell>
          <cell r="I145">
            <v>7.02</v>
          </cell>
          <cell r="J145">
            <v>21.06</v>
          </cell>
          <cell r="K145">
            <v>21.06</v>
          </cell>
          <cell r="L145">
            <v>21.06</v>
          </cell>
          <cell r="M145">
            <v>0.44444444444444442</v>
          </cell>
          <cell r="N145">
            <v>0.33333333333333331</v>
          </cell>
          <cell r="O145">
            <v>0.22222222222222221</v>
          </cell>
          <cell r="P145">
            <v>99</v>
          </cell>
          <cell r="Q145" t="str">
            <v>NULL</v>
          </cell>
          <cell r="R145" t="str">
            <v>NULL</v>
          </cell>
          <cell r="S145" t="str">
            <v>NULL</v>
          </cell>
          <cell r="T145" t="str">
            <v>NULL</v>
          </cell>
          <cell r="U145" t="str">
            <v>NULL</v>
          </cell>
          <cell r="V145">
            <v>0.17647058823529413</v>
          </cell>
          <cell r="W145">
            <v>0.17647058823529413</v>
          </cell>
          <cell r="X145">
            <v>0.6470588235294118</v>
          </cell>
          <cell r="Y145">
            <v>64</v>
          </cell>
        </row>
        <row r="146">
          <cell r="A146" t="str">
            <v>2024-Pachuca</v>
          </cell>
          <cell r="B146" t="str">
            <v>2024-Chivas</v>
          </cell>
          <cell r="C146">
            <v>2024</v>
          </cell>
          <cell r="D146" t="str">
            <v>Pachuca</v>
          </cell>
          <cell r="E146">
            <v>0</v>
          </cell>
          <cell r="F146">
            <v>1</v>
          </cell>
          <cell r="G146" t="str">
            <v>Chivas</v>
          </cell>
          <cell r="H146">
            <v>56.6</v>
          </cell>
          <cell r="I146">
            <v>5.66</v>
          </cell>
          <cell r="J146">
            <v>16.98</v>
          </cell>
          <cell r="K146">
            <v>16.98</v>
          </cell>
          <cell r="L146">
            <v>16.98</v>
          </cell>
          <cell r="M146">
            <v>0.3888888888888889</v>
          </cell>
          <cell r="N146">
            <v>0.33333333333333331</v>
          </cell>
          <cell r="O146">
            <v>0.27777777777777779</v>
          </cell>
          <cell r="P146">
            <v>98</v>
          </cell>
          <cell r="Q146" t="str">
            <v>NULL</v>
          </cell>
          <cell r="R146" t="str">
            <v>NULL</v>
          </cell>
          <cell r="S146" t="str">
            <v>NULL</v>
          </cell>
          <cell r="T146" t="str">
            <v>NULL</v>
          </cell>
          <cell r="U146" t="str">
            <v>NULL</v>
          </cell>
          <cell r="V146">
            <v>0.23529411764705882</v>
          </cell>
          <cell r="W146">
            <v>0.23529411764705882</v>
          </cell>
          <cell r="X146">
            <v>0.52941176470588236</v>
          </cell>
          <cell r="Y146">
            <v>99</v>
          </cell>
        </row>
        <row r="147">
          <cell r="A147" t="str">
            <v>2024-Chivas</v>
          </cell>
          <cell r="B147" t="str">
            <v>2024-Puebla</v>
          </cell>
          <cell r="C147">
            <v>2024</v>
          </cell>
          <cell r="D147" t="str">
            <v>Chivas</v>
          </cell>
          <cell r="E147">
            <v>3</v>
          </cell>
          <cell r="F147">
            <v>2</v>
          </cell>
          <cell r="G147" t="str">
            <v>Puebla</v>
          </cell>
          <cell r="H147">
            <v>70.2</v>
          </cell>
          <cell r="I147">
            <v>7.02</v>
          </cell>
          <cell r="J147">
            <v>21.06</v>
          </cell>
          <cell r="K147">
            <v>21.06</v>
          </cell>
          <cell r="L147">
            <v>21.06</v>
          </cell>
          <cell r="M147">
            <v>0.44444444444444442</v>
          </cell>
          <cell r="N147">
            <v>0.33333333333333331</v>
          </cell>
          <cell r="O147">
            <v>0.22222222222222221</v>
          </cell>
          <cell r="P147">
            <v>99</v>
          </cell>
          <cell r="Q147">
            <v>24.1</v>
          </cell>
          <cell r="R147">
            <v>2.41</v>
          </cell>
          <cell r="S147">
            <v>7.23</v>
          </cell>
          <cell r="T147">
            <v>7.23</v>
          </cell>
          <cell r="U147">
            <v>7.23</v>
          </cell>
          <cell r="V147">
            <v>0.11764705882352941</v>
          </cell>
          <cell r="W147">
            <v>0.17647058823529413</v>
          </cell>
          <cell r="X147">
            <v>0.70588235294117652</v>
          </cell>
          <cell r="Y147">
            <v>34</v>
          </cell>
        </row>
        <row r="148">
          <cell r="A148" t="str">
            <v>2024-Chivas</v>
          </cell>
          <cell r="B148" t="str">
            <v>2024-América</v>
          </cell>
          <cell r="C148">
            <v>2024</v>
          </cell>
          <cell r="D148" t="str">
            <v>Chivas</v>
          </cell>
          <cell r="E148">
            <v>0</v>
          </cell>
          <cell r="F148">
            <v>0</v>
          </cell>
          <cell r="G148" t="str">
            <v>América</v>
          </cell>
          <cell r="H148">
            <v>70.2</v>
          </cell>
          <cell r="I148">
            <v>7.02</v>
          </cell>
          <cell r="J148">
            <v>21.06</v>
          </cell>
          <cell r="K148">
            <v>21.06</v>
          </cell>
          <cell r="L148">
            <v>21.06</v>
          </cell>
          <cell r="M148">
            <v>0.44444444444444442</v>
          </cell>
          <cell r="N148">
            <v>0.33333333333333331</v>
          </cell>
          <cell r="O148">
            <v>0.22222222222222221</v>
          </cell>
          <cell r="P148">
            <v>99</v>
          </cell>
          <cell r="Q148">
            <v>92.45</v>
          </cell>
          <cell r="R148">
            <v>9.25</v>
          </cell>
          <cell r="S148">
            <v>27.73</v>
          </cell>
          <cell r="T148">
            <v>27.73</v>
          </cell>
          <cell r="U148">
            <v>27.73</v>
          </cell>
          <cell r="V148">
            <v>0.375</v>
          </cell>
          <cell r="W148">
            <v>0.29166666666666669</v>
          </cell>
          <cell r="X148">
            <v>0.33333333333333331</v>
          </cell>
          <cell r="Y148">
            <v>133</v>
          </cell>
        </row>
        <row r="149">
          <cell r="A149" t="str">
            <v>2024-Chivas</v>
          </cell>
          <cell r="B149" t="str">
            <v>2024-León</v>
          </cell>
          <cell r="C149">
            <v>2024</v>
          </cell>
          <cell r="D149" t="str">
            <v>Chivas</v>
          </cell>
          <cell r="E149">
            <v>1</v>
          </cell>
          <cell r="F149">
            <v>2</v>
          </cell>
          <cell r="G149" t="str">
            <v>León</v>
          </cell>
          <cell r="H149">
            <v>70.2</v>
          </cell>
          <cell r="I149">
            <v>7.02</v>
          </cell>
          <cell r="J149">
            <v>21.06</v>
          </cell>
          <cell r="K149">
            <v>21.06</v>
          </cell>
          <cell r="L149">
            <v>21.06</v>
          </cell>
          <cell r="M149">
            <v>0.44444444444444442</v>
          </cell>
          <cell r="N149">
            <v>0.33333333333333331</v>
          </cell>
          <cell r="O149">
            <v>0.22222222222222221</v>
          </cell>
          <cell r="P149">
            <v>99</v>
          </cell>
          <cell r="Q149">
            <v>29.55</v>
          </cell>
          <cell r="R149">
            <v>2.96</v>
          </cell>
          <cell r="S149">
            <v>8.8699999999999992</v>
          </cell>
          <cell r="T149">
            <v>8.8699999999999992</v>
          </cell>
          <cell r="U149">
            <v>8.8699999999999992</v>
          </cell>
          <cell r="V149">
            <v>0.27777777777777779</v>
          </cell>
          <cell r="W149">
            <v>0.27777777777777779</v>
          </cell>
          <cell r="X149">
            <v>0.44444444444444442</v>
          </cell>
          <cell r="Y149">
            <v>87</v>
          </cell>
        </row>
        <row r="150">
          <cell r="A150" t="str">
            <v>2024-Cruz Azul</v>
          </cell>
          <cell r="B150" t="str">
            <v>2024-Chivas</v>
          </cell>
          <cell r="C150">
            <v>2024</v>
          </cell>
          <cell r="D150" t="str">
            <v>Cruz Azul</v>
          </cell>
          <cell r="E150">
            <v>3</v>
          </cell>
          <cell r="F150">
            <v>0</v>
          </cell>
          <cell r="G150" t="str">
            <v>Chivas</v>
          </cell>
          <cell r="H150">
            <v>78.849999999999994</v>
          </cell>
          <cell r="I150">
            <v>7.89</v>
          </cell>
          <cell r="J150">
            <v>23.66</v>
          </cell>
          <cell r="K150">
            <v>23.66</v>
          </cell>
          <cell r="L150">
            <v>23.66</v>
          </cell>
          <cell r="M150">
            <v>0.7142857142857143</v>
          </cell>
          <cell r="N150">
            <v>0.23809523809523808</v>
          </cell>
          <cell r="O150">
            <v>4.7619047619047616E-2</v>
          </cell>
          <cell r="P150">
            <v>107</v>
          </cell>
          <cell r="Q150" t="str">
            <v>NULL</v>
          </cell>
          <cell r="R150" t="str">
            <v>NULL</v>
          </cell>
          <cell r="S150" t="str">
            <v>NULL</v>
          </cell>
          <cell r="T150" t="str">
            <v>NULL</v>
          </cell>
          <cell r="U150" t="str">
            <v>NULL</v>
          </cell>
          <cell r="V150">
            <v>0.23529411764705882</v>
          </cell>
          <cell r="W150">
            <v>0.23529411764705882</v>
          </cell>
          <cell r="X150">
            <v>0.52941176470588236</v>
          </cell>
          <cell r="Y150">
            <v>99</v>
          </cell>
        </row>
        <row r="151">
          <cell r="A151" t="str">
            <v>2024-Chivas</v>
          </cell>
          <cell r="B151" t="str">
            <v>2024-Pumas</v>
          </cell>
          <cell r="C151">
            <v>2024</v>
          </cell>
          <cell r="D151" t="str">
            <v>Chivas</v>
          </cell>
          <cell r="E151">
            <v>3</v>
          </cell>
          <cell r="F151">
            <v>1</v>
          </cell>
          <cell r="G151" t="str">
            <v>Pumas</v>
          </cell>
          <cell r="H151">
            <v>70.2</v>
          </cell>
          <cell r="I151">
            <v>7.02</v>
          </cell>
          <cell r="J151">
            <v>21.06</v>
          </cell>
          <cell r="K151">
            <v>21.06</v>
          </cell>
          <cell r="L151">
            <v>21.06</v>
          </cell>
          <cell r="M151">
            <v>0.44444444444444442</v>
          </cell>
          <cell r="N151">
            <v>0.33333333333333331</v>
          </cell>
          <cell r="O151">
            <v>0.22222222222222221</v>
          </cell>
          <cell r="P151">
            <v>99</v>
          </cell>
          <cell r="Q151">
            <v>47.6</v>
          </cell>
          <cell r="R151">
            <v>4.76</v>
          </cell>
          <cell r="S151">
            <v>14.28</v>
          </cell>
          <cell r="T151">
            <v>14.28</v>
          </cell>
          <cell r="U151">
            <v>14.28</v>
          </cell>
          <cell r="V151">
            <v>0.3</v>
          </cell>
          <cell r="W151">
            <v>0.25</v>
          </cell>
          <cell r="X151">
            <v>0.45</v>
          </cell>
          <cell r="Y151">
            <v>75</v>
          </cell>
        </row>
        <row r="152">
          <cell r="A152" t="str">
            <v>2024-Necaxa</v>
          </cell>
          <cell r="B152" t="str">
            <v>2024-Chivas</v>
          </cell>
          <cell r="C152">
            <v>2024</v>
          </cell>
          <cell r="D152" t="str">
            <v>Necaxa</v>
          </cell>
          <cell r="E152">
            <v>1</v>
          </cell>
          <cell r="F152">
            <v>0</v>
          </cell>
          <cell r="G152" t="str">
            <v>Chivas</v>
          </cell>
          <cell r="H152">
            <v>38.5</v>
          </cell>
          <cell r="I152">
            <v>3.85</v>
          </cell>
          <cell r="J152">
            <v>11.55</v>
          </cell>
          <cell r="K152">
            <v>11.55</v>
          </cell>
          <cell r="L152">
            <v>11.55</v>
          </cell>
          <cell r="M152">
            <v>0.44444444444444442</v>
          </cell>
          <cell r="N152">
            <v>0.22222222222222221</v>
          </cell>
          <cell r="O152">
            <v>0.33333333333333331</v>
          </cell>
          <cell r="P152">
            <v>77</v>
          </cell>
          <cell r="Q152" t="str">
            <v>NULL</v>
          </cell>
          <cell r="R152" t="str">
            <v>NULL</v>
          </cell>
          <cell r="S152" t="str">
            <v>NULL</v>
          </cell>
          <cell r="T152" t="str">
            <v>NULL</v>
          </cell>
          <cell r="U152" t="str">
            <v>NULL</v>
          </cell>
          <cell r="V152">
            <v>0.23529411764705882</v>
          </cell>
          <cell r="W152">
            <v>0.23529411764705882</v>
          </cell>
          <cell r="X152">
            <v>0.52941176470588236</v>
          </cell>
          <cell r="Y152">
            <v>99</v>
          </cell>
        </row>
        <row r="153">
          <cell r="A153" t="str">
            <v>2024-Mazatlán</v>
          </cell>
          <cell r="B153" t="str">
            <v>2024-Chivas</v>
          </cell>
          <cell r="C153">
            <v>2024</v>
          </cell>
          <cell r="D153" t="str">
            <v>Mazatlán</v>
          </cell>
          <cell r="E153">
            <v>2</v>
          </cell>
          <cell r="F153">
            <v>2</v>
          </cell>
          <cell r="G153" t="str">
            <v>Chivas</v>
          </cell>
          <cell r="H153">
            <v>31.45</v>
          </cell>
          <cell r="I153">
            <v>3.15</v>
          </cell>
          <cell r="J153">
            <v>9.44</v>
          </cell>
          <cell r="K153">
            <v>9.44</v>
          </cell>
          <cell r="L153">
            <v>9.44</v>
          </cell>
          <cell r="M153">
            <v>0.29411764705882354</v>
          </cell>
          <cell r="N153">
            <v>0.47058823529411764</v>
          </cell>
          <cell r="O153">
            <v>0.23529411764705882</v>
          </cell>
          <cell r="P153">
            <v>40</v>
          </cell>
          <cell r="Q153" t="str">
            <v>NULL</v>
          </cell>
          <cell r="R153" t="str">
            <v>NULL</v>
          </cell>
          <cell r="S153" t="str">
            <v>NULL</v>
          </cell>
          <cell r="T153" t="str">
            <v>NULL</v>
          </cell>
          <cell r="U153" t="str">
            <v>NULL</v>
          </cell>
          <cell r="V153">
            <v>0.23529411764705882</v>
          </cell>
          <cell r="W153">
            <v>0.23529411764705882</v>
          </cell>
          <cell r="X153">
            <v>0.52941176470588236</v>
          </cell>
          <cell r="Y153">
            <v>99</v>
          </cell>
        </row>
        <row r="154">
          <cell r="A154" t="str">
            <v>2024-Atlético San Luis</v>
          </cell>
          <cell r="B154" t="str">
            <v>2024-Chivas</v>
          </cell>
          <cell r="C154">
            <v>2024</v>
          </cell>
          <cell r="D154" t="str">
            <v>Atlético San Luis</v>
          </cell>
          <cell r="E154">
            <v>0</v>
          </cell>
          <cell r="F154">
            <v>2</v>
          </cell>
          <cell r="G154" t="str">
            <v>Chivas</v>
          </cell>
          <cell r="H154">
            <v>45.95</v>
          </cell>
          <cell r="I154">
            <v>4.5999999999999996</v>
          </cell>
          <cell r="J154">
            <v>13.84</v>
          </cell>
          <cell r="K154">
            <v>13.84</v>
          </cell>
          <cell r="L154">
            <v>13.84</v>
          </cell>
          <cell r="M154">
            <v>0.68421052631578949</v>
          </cell>
          <cell r="N154">
            <v>5.2631578947368418E-2</v>
          </cell>
          <cell r="O154">
            <v>0.26315789473684209</v>
          </cell>
          <cell r="P154">
            <v>59</v>
          </cell>
          <cell r="Q154" t="str">
            <v>NULL</v>
          </cell>
          <cell r="R154" t="str">
            <v>NULL</v>
          </cell>
          <cell r="S154" t="str">
            <v>NULL</v>
          </cell>
          <cell r="T154" t="str">
            <v>NULL</v>
          </cell>
          <cell r="U154" t="str">
            <v>NULL</v>
          </cell>
          <cell r="V154">
            <v>0.23529411764705882</v>
          </cell>
          <cell r="W154">
            <v>0.23529411764705882</v>
          </cell>
          <cell r="X154">
            <v>0.52941176470588236</v>
          </cell>
          <cell r="Y154">
            <v>99</v>
          </cell>
        </row>
        <row r="155">
          <cell r="A155" t="str">
            <v>2024-Chivas</v>
          </cell>
          <cell r="B155" t="str">
            <v>2024-Toluca</v>
          </cell>
          <cell r="C155">
            <v>2024</v>
          </cell>
          <cell r="D155" t="str">
            <v>Chivas</v>
          </cell>
          <cell r="E155">
            <v>3</v>
          </cell>
          <cell r="F155">
            <v>2</v>
          </cell>
          <cell r="G155" t="str">
            <v>Toluca</v>
          </cell>
          <cell r="H155">
            <v>70.2</v>
          </cell>
          <cell r="I155">
            <v>7.02</v>
          </cell>
          <cell r="J155">
            <v>21.06</v>
          </cell>
          <cell r="K155">
            <v>21.06</v>
          </cell>
          <cell r="L155">
            <v>21.06</v>
          </cell>
          <cell r="M155">
            <v>0.44444444444444442</v>
          </cell>
          <cell r="N155">
            <v>0.33333333333333331</v>
          </cell>
          <cell r="O155">
            <v>0.22222222222222221</v>
          </cell>
          <cell r="P155">
            <v>99</v>
          </cell>
          <cell r="Q155">
            <v>77.45</v>
          </cell>
          <cell r="R155">
            <v>7.75</v>
          </cell>
          <cell r="S155">
            <v>23.24</v>
          </cell>
          <cell r="T155">
            <v>23.24</v>
          </cell>
          <cell r="U155">
            <v>23.24</v>
          </cell>
          <cell r="V155">
            <v>0.38095238095238093</v>
          </cell>
          <cell r="W155">
            <v>0.33333333333333331</v>
          </cell>
          <cell r="X155">
            <v>0.2857142857142857</v>
          </cell>
          <cell r="Y155">
            <v>118</v>
          </cell>
        </row>
        <row r="156">
          <cell r="A156" t="str">
            <v>2024-Xolos</v>
          </cell>
          <cell r="B156" t="str">
            <v>2024-Chivas</v>
          </cell>
          <cell r="C156">
            <v>2024</v>
          </cell>
          <cell r="D156" t="str">
            <v>Xolos</v>
          </cell>
          <cell r="E156">
            <v>1</v>
          </cell>
          <cell r="F156">
            <v>1</v>
          </cell>
          <cell r="G156" t="str">
            <v>Chivas</v>
          </cell>
          <cell r="H156" t="str">
            <v>NULL</v>
          </cell>
          <cell r="I156" t="str">
            <v>NULL</v>
          </cell>
          <cell r="J156" t="str">
            <v>NULL</v>
          </cell>
          <cell r="K156" t="str">
            <v>NULL</v>
          </cell>
          <cell r="L156" t="str">
            <v>NULL</v>
          </cell>
          <cell r="M156">
            <v>0.55000000000000004</v>
          </cell>
          <cell r="N156">
            <v>0.15</v>
          </cell>
          <cell r="O156">
            <v>0.3</v>
          </cell>
          <cell r="P156">
            <v>49</v>
          </cell>
          <cell r="Q156" t="str">
            <v>NULL</v>
          </cell>
          <cell r="R156" t="str">
            <v>NULL</v>
          </cell>
          <cell r="S156" t="str">
            <v>NULL</v>
          </cell>
          <cell r="T156" t="str">
            <v>NULL</v>
          </cell>
          <cell r="U156" t="str">
            <v>NULL</v>
          </cell>
          <cell r="V156">
            <v>0.23529411764705882</v>
          </cell>
          <cell r="W156">
            <v>0.23529411764705882</v>
          </cell>
          <cell r="X156">
            <v>0.52941176470588236</v>
          </cell>
          <cell r="Y156">
            <v>99</v>
          </cell>
        </row>
        <row r="157">
          <cell r="A157" t="str">
            <v>2024-Tigres</v>
          </cell>
          <cell r="B157" t="str">
            <v>2024-Chivas</v>
          </cell>
          <cell r="C157">
            <v>2024</v>
          </cell>
          <cell r="D157" t="str">
            <v>Tigres</v>
          </cell>
          <cell r="E157">
            <v>1</v>
          </cell>
          <cell r="F157">
            <v>0</v>
          </cell>
          <cell r="G157" t="str">
            <v>Chivas</v>
          </cell>
          <cell r="H157">
            <v>67</v>
          </cell>
          <cell r="I157">
            <v>6.7</v>
          </cell>
          <cell r="J157">
            <v>20.100000000000001</v>
          </cell>
          <cell r="K157">
            <v>20.100000000000001</v>
          </cell>
          <cell r="L157">
            <v>20.100000000000001</v>
          </cell>
          <cell r="M157">
            <v>0.7</v>
          </cell>
          <cell r="N157">
            <v>0.25</v>
          </cell>
          <cell r="O157">
            <v>0.05</v>
          </cell>
          <cell r="P157">
            <v>107</v>
          </cell>
          <cell r="Q157" t="str">
            <v>NULL</v>
          </cell>
          <cell r="R157" t="str">
            <v>NULL</v>
          </cell>
          <cell r="S157" t="str">
            <v>NULL</v>
          </cell>
          <cell r="T157" t="str">
            <v>NULL</v>
          </cell>
          <cell r="U157" t="str">
            <v>NULL</v>
          </cell>
          <cell r="V157">
            <v>0.23529411764705882</v>
          </cell>
          <cell r="W157">
            <v>0.23529411764705882</v>
          </cell>
          <cell r="X157">
            <v>0.52941176470588236</v>
          </cell>
          <cell r="Y157">
            <v>99</v>
          </cell>
        </row>
        <row r="158">
          <cell r="A158" t="str">
            <v>2024-Chivas</v>
          </cell>
          <cell r="B158" t="str">
            <v>2024-Santos Laguna</v>
          </cell>
          <cell r="C158">
            <v>2024</v>
          </cell>
          <cell r="D158" t="str">
            <v>Chivas</v>
          </cell>
          <cell r="E158">
            <v>1</v>
          </cell>
          <cell r="F158">
            <v>1</v>
          </cell>
          <cell r="G158" t="str">
            <v>Santos Laguna</v>
          </cell>
          <cell r="H158">
            <v>70.2</v>
          </cell>
          <cell r="I158">
            <v>7.02</v>
          </cell>
          <cell r="J158">
            <v>21.06</v>
          </cell>
          <cell r="K158">
            <v>21.06</v>
          </cell>
          <cell r="L158">
            <v>21.06</v>
          </cell>
          <cell r="M158">
            <v>0.44444444444444442</v>
          </cell>
          <cell r="N158">
            <v>0.33333333333333331</v>
          </cell>
          <cell r="O158">
            <v>0.22222222222222221</v>
          </cell>
          <cell r="P158">
            <v>99</v>
          </cell>
          <cell r="Q158" t="str">
            <v>NULL</v>
          </cell>
          <cell r="R158" t="str">
            <v>NULL</v>
          </cell>
          <cell r="S158" t="str">
            <v>NULL</v>
          </cell>
          <cell r="T158" t="str">
            <v>NULL</v>
          </cell>
          <cell r="U158" t="str">
            <v>NULL</v>
          </cell>
          <cell r="V158">
            <v>0</v>
          </cell>
          <cell r="W158">
            <v>0.11764705882352941</v>
          </cell>
          <cell r="X158">
            <v>0.88235294117647056</v>
          </cell>
          <cell r="Y158">
            <v>46</v>
          </cell>
        </row>
        <row r="159">
          <cell r="A159" t="str">
            <v>2023-Pumas</v>
          </cell>
          <cell r="B159" t="str">
            <v>2023-Chivas</v>
          </cell>
          <cell r="C159">
            <v>2023</v>
          </cell>
          <cell r="D159" t="str">
            <v>Pumas</v>
          </cell>
          <cell r="E159">
            <v>3</v>
          </cell>
          <cell r="F159">
            <v>0</v>
          </cell>
          <cell r="G159" t="str">
            <v>Chivas</v>
          </cell>
          <cell r="H159" t="str">
            <v>NULL</v>
          </cell>
          <cell r="I159" t="str">
            <v>NULL</v>
          </cell>
          <cell r="J159" t="str">
            <v>NULL</v>
          </cell>
          <cell r="K159" t="str">
            <v>NULL</v>
          </cell>
          <cell r="L159" t="str">
            <v>NULL</v>
          </cell>
          <cell r="M159">
            <v>0.5</v>
          </cell>
          <cell r="N159">
            <v>0.16666666666666666</v>
          </cell>
          <cell r="O159">
            <v>0.33333333333333331</v>
          </cell>
          <cell r="P159">
            <v>75</v>
          </cell>
          <cell r="Q159" t="str">
            <v>NULL</v>
          </cell>
          <cell r="R159" t="str">
            <v>NULL</v>
          </cell>
          <cell r="S159" t="str">
            <v>NULL</v>
          </cell>
          <cell r="T159" t="str">
            <v>NULL</v>
          </cell>
          <cell r="U159" t="str">
            <v>NULL</v>
          </cell>
          <cell r="V159">
            <v>0.23529411764705882</v>
          </cell>
          <cell r="W159">
            <v>0.23529411764705882</v>
          </cell>
          <cell r="X159">
            <v>0.52941176470588236</v>
          </cell>
          <cell r="Y159">
            <v>99</v>
          </cell>
        </row>
        <row r="160">
          <cell r="A160" t="str">
            <v>2023-Chivas</v>
          </cell>
          <cell r="B160" t="str">
            <v>2023-Pumas</v>
          </cell>
          <cell r="C160">
            <v>2023</v>
          </cell>
          <cell r="D160" t="str">
            <v>Chivas</v>
          </cell>
          <cell r="E160">
            <v>1</v>
          </cell>
          <cell r="F160">
            <v>0</v>
          </cell>
          <cell r="G160" t="str">
            <v>Pumas</v>
          </cell>
          <cell r="H160">
            <v>69.7</v>
          </cell>
          <cell r="I160">
            <v>6.97</v>
          </cell>
          <cell r="J160">
            <v>20.91</v>
          </cell>
          <cell r="K160">
            <v>20.91</v>
          </cell>
          <cell r="L160">
            <v>20.91</v>
          </cell>
          <cell r="M160">
            <v>0.44444444444444442</v>
          </cell>
          <cell r="N160">
            <v>0.33333333333333331</v>
          </cell>
          <cell r="O160">
            <v>0.22222222222222221</v>
          </cell>
          <cell r="P160">
            <v>99</v>
          </cell>
          <cell r="Q160" t="str">
            <v>NULL</v>
          </cell>
          <cell r="R160" t="str">
            <v>NULL</v>
          </cell>
          <cell r="S160" t="str">
            <v>NULL</v>
          </cell>
          <cell r="T160" t="str">
            <v>NULL</v>
          </cell>
          <cell r="U160" t="str">
            <v>NULL</v>
          </cell>
          <cell r="V160">
            <v>0.3</v>
          </cell>
          <cell r="W160">
            <v>0.25</v>
          </cell>
          <cell r="X160">
            <v>0.45</v>
          </cell>
          <cell r="Y160">
            <v>75</v>
          </cell>
        </row>
        <row r="161">
          <cell r="A161" t="str">
            <v>2023-Pumas</v>
          </cell>
          <cell r="B161" t="str">
            <v>2023-Chivas</v>
          </cell>
          <cell r="C161">
            <v>2023</v>
          </cell>
          <cell r="D161" t="str">
            <v>Pumas</v>
          </cell>
          <cell r="E161">
            <v>1</v>
          </cell>
          <cell r="F161">
            <v>0</v>
          </cell>
          <cell r="G161" t="str">
            <v>Chivas</v>
          </cell>
          <cell r="H161" t="str">
            <v>NULL</v>
          </cell>
          <cell r="I161" t="str">
            <v>NULL</v>
          </cell>
          <cell r="J161" t="str">
            <v>NULL</v>
          </cell>
          <cell r="K161" t="str">
            <v>NULL</v>
          </cell>
          <cell r="L161" t="str">
            <v>NULL</v>
          </cell>
          <cell r="M161">
            <v>0.5</v>
          </cell>
          <cell r="N161">
            <v>0.16666666666666666</v>
          </cell>
          <cell r="O161">
            <v>0.33333333333333331</v>
          </cell>
          <cell r="P161">
            <v>75</v>
          </cell>
          <cell r="Q161" t="str">
            <v>NULL</v>
          </cell>
          <cell r="R161" t="str">
            <v>NULL</v>
          </cell>
          <cell r="S161" t="str">
            <v>NULL</v>
          </cell>
          <cell r="T161" t="str">
            <v>NULL</v>
          </cell>
          <cell r="U161" t="str">
            <v>NULL</v>
          </cell>
          <cell r="V161">
            <v>0.23529411764705882</v>
          </cell>
          <cell r="W161">
            <v>0.23529411764705882</v>
          </cell>
          <cell r="X161">
            <v>0.52941176470588236</v>
          </cell>
          <cell r="Y161">
            <v>99</v>
          </cell>
        </row>
        <row r="162">
          <cell r="A162" t="str">
            <v>2023-Chivas</v>
          </cell>
          <cell r="B162" t="str">
            <v>2023-Cruz Azul</v>
          </cell>
          <cell r="C162">
            <v>2023</v>
          </cell>
          <cell r="D162" t="str">
            <v>Chivas</v>
          </cell>
          <cell r="E162">
            <v>1</v>
          </cell>
          <cell r="F162">
            <v>0</v>
          </cell>
          <cell r="G162" t="str">
            <v>Cruz Azul</v>
          </cell>
          <cell r="H162">
            <v>69.7</v>
          </cell>
          <cell r="I162">
            <v>6.97</v>
          </cell>
          <cell r="J162">
            <v>20.91</v>
          </cell>
          <cell r="K162">
            <v>20.91</v>
          </cell>
          <cell r="L162">
            <v>20.91</v>
          </cell>
          <cell r="M162">
            <v>0.44444444444444442</v>
          </cell>
          <cell r="N162">
            <v>0.33333333333333331</v>
          </cell>
          <cell r="O162">
            <v>0.22222222222222221</v>
          </cell>
          <cell r="P162">
            <v>99</v>
          </cell>
          <cell r="Q162">
            <v>72.2</v>
          </cell>
          <cell r="R162">
            <v>7.22</v>
          </cell>
          <cell r="S162">
            <v>21.66</v>
          </cell>
          <cell r="T162">
            <v>21.66</v>
          </cell>
          <cell r="U162">
            <v>21.66</v>
          </cell>
          <cell r="V162">
            <v>0.52380952380952384</v>
          </cell>
          <cell r="W162">
            <v>0.23809523809523808</v>
          </cell>
          <cell r="X162">
            <v>0.23809523809523808</v>
          </cell>
          <cell r="Y162">
            <v>107</v>
          </cell>
        </row>
        <row r="163">
          <cell r="A163" t="str">
            <v>2023-Querétaro</v>
          </cell>
          <cell r="B163" t="str">
            <v>2023-Chivas</v>
          </cell>
          <cell r="C163">
            <v>2023</v>
          </cell>
          <cell r="D163" t="str">
            <v>Querétaro</v>
          </cell>
          <cell r="E163">
            <v>1</v>
          </cell>
          <cell r="F163">
            <v>2</v>
          </cell>
          <cell r="G163" t="str">
            <v>Chivas</v>
          </cell>
          <cell r="H163">
            <v>21.45</v>
          </cell>
          <cell r="I163">
            <v>2.14</v>
          </cell>
          <cell r="J163">
            <v>6.44</v>
          </cell>
          <cell r="K163">
            <v>6.44</v>
          </cell>
          <cell r="L163">
            <v>6.44</v>
          </cell>
          <cell r="M163">
            <v>0.35294117647058826</v>
          </cell>
          <cell r="N163">
            <v>0.11764705882352941</v>
          </cell>
          <cell r="O163">
            <v>0.52941176470588236</v>
          </cell>
          <cell r="P163">
            <v>64</v>
          </cell>
          <cell r="Q163" t="str">
            <v>NULL</v>
          </cell>
          <cell r="R163" t="str">
            <v>NULL</v>
          </cell>
          <cell r="S163" t="str">
            <v>NULL</v>
          </cell>
          <cell r="T163" t="str">
            <v>NULL</v>
          </cell>
          <cell r="U163" t="str">
            <v>NULL</v>
          </cell>
          <cell r="V163">
            <v>0.23529411764705882</v>
          </cell>
          <cell r="W163">
            <v>0.23529411764705882</v>
          </cell>
          <cell r="X163">
            <v>0.52941176470588236</v>
          </cell>
          <cell r="Y163">
            <v>99</v>
          </cell>
        </row>
        <row r="164">
          <cell r="A164" t="str">
            <v>2023-Chivas</v>
          </cell>
          <cell r="B164" t="str">
            <v>2023-Tigres</v>
          </cell>
          <cell r="C164">
            <v>2023</v>
          </cell>
          <cell r="D164" t="str">
            <v>Chivas</v>
          </cell>
          <cell r="E164">
            <v>0</v>
          </cell>
          <cell r="F164">
            <v>4</v>
          </cell>
          <cell r="G164" t="str">
            <v>Tigres</v>
          </cell>
          <cell r="H164">
            <v>69.7</v>
          </cell>
          <cell r="I164">
            <v>6.97</v>
          </cell>
          <cell r="J164">
            <v>20.91</v>
          </cell>
          <cell r="K164">
            <v>20.91</v>
          </cell>
          <cell r="L164">
            <v>20.91</v>
          </cell>
          <cell r="M164">
            <v>0.44444444444444442</v>
          </cell>
          <cell r="N164">
            <v>0.33333333333333331</v>
          </cell>
          <cell r="O164">
            <v>0.22222222222222221</v>
          </cell>
          <cell r="P164">
            <v>99</v>
          </cell>
          <cell r="Q164" t="str">
            <v>NULL</v>
          </cell>
          <cell r="R164" t="str">
            <v>NULL</v>
          </cell>
          <cell r="S164" t="str">
            <v>NULL</v>
          </cell>
          <cell r="T164" t="str">
            <v>NULL</v>
          </cell>
          <cell r="U164" t="str">
            <v>NULL</v>
          </cell>
          <cell r="V164">
            <v>0.3</v>
          </cell>
          <cell r="W164">
            <v>0.3</v>
          </cell>
          <cell r="X164">
            <v>0.4</v>
          </cell>
          <cell r="Y164">
            <v>107</v>
          </cell>
        </row>
        <row r="165">
          <cell r="A165" t="str">
            <v>2023-Puebla</v>
          </cell>
          <cell r="B165" t="str">
            <v>2023-Chivas</v>
          </cell>
          <cell r="C165">
            <v>2023</v>
          </cell>
          <cell r="D165" t="str">
            <v>Puebla</v>
          </cell>
          <cell r="E165">
            <v>0</v>
          </cell>
          <cell r="F165">
            <v>2</v>
          </cell>
          <cell r="G165" t="str">
            <v>Chivas</v>
          </cell>
          <cell r="H165">
            <v>26.7</v>
          </cell>
          <cell r="I165">
            <v>2.67</v>
          </cell>
          <cell r="J165">
            <v>8.01</v>
          </cell>
          <cell r="K165">
            <v>8.01</v>
          </cell>
          <cell r="L165">
            <v>8.01</v>
          </cell>
          <cell r="M165">
            <v>0.23529411764705882</v>
          </cell>
          <cell r="N165">
            <v>0.11764705882352941</v>
          </cell>
          <cell r="O165">
            <v>0.6470588235294118</v>
          </cell>
          <cell r="P165">
            <v>34</v>
          </cell>
          <cell r="Q165" t="str">
            <v>NULL</v>
          </cell>
          <cell r="R165" t="str">
            <v>NULL</v>
          </cell>
          <cell r="S165" t="str">
            <v>NULL</v>
          </cell>
          <cell r="T165" t="str">
            <v>NULL</v>
          </cell>
          <cell r="U165" t="str">
            <v>NULL</v>
          </cell>
          <cell r="V165">
            <v>0.23529411764705882</v>
          </cell>
          <cell r="W165">
            <v>0.23529411764705882</v>
          </cell>
          <cell r="X165">
            <v>0.52941176470588236</v>
          </cell>
          <cell r="Y165">
            <v>99</v>
          </cell>
        </row>
        <row r="166">
          <cell r="A166" t="str">
            <v>2023-Chivas</v>
          </cell>
          <cell r="B166" t="str">
            <v>2023-Atlas</v>
          </cell>
          <cell r="C166">
            <v>2023</v>
          </cell>
          <cell r="D166" t="str">
            <v>Chivas</v>
          </cell>
          <cell r="E166">
            <v>4</v>
          </cell>
          <cell r="F166">
            <v>1</v>
          </cell>
          <cell r="G166" t="str">
            <v>Atlas</v>
          </cell>
          <cell r="H166">
            <v>69.7</v>
          </cell>
          <cell r="I166">
            <v>6.97</v>
          </cell>
          <cell r="J166">
            <v>20.91</v>
          </cell>
          <cell r="K166">
            <v>20.91</v>
          </cell>
          <cell r="L166">
            <v>20.91</v>
          </cell>
          <cell r="M166">
            <v>0.44444444444444442</v>
          </cell>
          <cell r="N166">
            <v>0.33333333333333331</v>
          </cell>
          <cell r="O166">
            <v>0.22222222222222221</v>
          </cell>
          <cell r="P166">
            <v>99</v>
          </cell>
          <cell r="Q166">
            <v>30.7</v>
          </cell>
          <cell r="R166">
            <v>3.07</v>
          </cell>
          <cell r="S166">
            <v>9.2100000000000009</v>
          </cell>
          <cell r="T166">
            <v>9.2100000000000009</v>
          </cell>
          <cell r="U166">
            <v>9.2100000000000009</v>
          </cell>
          <cell r="V166">
            <v>0.26315789473684209</v>
          </cell>
          <cell r="W166">
            <v>0.31578947368421051</v>
          </cell>
          <cell r="X166">
            <v>0.42105263157894735</v>
          </cell>
          <cell r="Y166">
            <v>60</v>
          </cell>
        </row>
        <row r="167">
          <cell r="A167" t="str">
            <v>2023-Toluca</v>
          </cell>
          <cell r="B167" t="str">
            <v>2023-Chivas</v>
          </cell>
          <cell r="C167">
            <v>2023</v>
          </cell>
          <cell r="D167" t="str">
            <v>Toluca</v>
          </cell>
          <cell r="E167">
            <v>1</v>
          </cell>
          <cell r="F167">
            <v>1</v>
          </cell>
          <cell r="G167" t="str">
            <v>Chivas</v>
          </cell>
          <cell r="H167">
            <v>66.2</v>
          </cell>
          <cell r="I167">
            <v>6.62</v>
          </cell>
          <cell r="J167">
            <v>19.86</v>
          </cell>
          <cell r="K167">
            <v>19.86</v>
          </cell>
          <cell r="L167">
            <v>19.86</v>
          </cell>
          <cell r="M167">
            <v>0.76190476190476186</v>
          </cell>
          <cell r="N167">
            <v>0.19047619047619047</v>
          </cell>
          <cell r="O167">
            <v>4.7619047619047616E-2</v>
          </cell>
          <cell r="P167">
            <v>118</v>
          </cell>
          <cell r="Q167" t="str">
            <v>NULL</v>
          </cell>
          <cell r="R167" t="str">
            <v>NULL</v>
          </cell>
          <cell r="S167" t="str">
            <v>NULL</v>
          </cell>
          <cell r="T167" t="str">
            <v>NULL</v>
          </cell>
          <cell r="U167" t="str">
            <v>NULL</v>
          </cell>
          <cell r="V167">
            <v>0.23529411764705882</v>
          </cell>
          <cell r="W167">
            <v>0.23529411764705882</v>
          </cell>
          <cell r="X167">
            <v>0.52941176470588236</v>
          </cell>
          <cell r="Y167">
            <v>99</v>
          </cell>
        </row>
        <row r="168">
          <cell r="A168" t="str">
            <v>2023-Chivas</v>
          </cell>
          <cell r="B168" t="str">
            <v>2023-Mazatlán</v>
          </cell>
          <cell r="C168">
            <v>2023</v>
          </cell>
          <cell r="D168" t="str">
            <v>Chivas</v>
          </cell>
          <cell r="E168">
            <v>1</v>
          </cell>
          <cell r="F168">
            <v>3</v>
          </cell>
          <cell r="G168" t="str">
            <v>Mazatlán</v>
          </cell>
          <cell r="H168">
            <v>69.7</v>
          </cell>
          <cell r="I168">
            <v>6.97</v>
          </cell>
          <cell r="J168">
            <v>20.91</v>
          </cell>
          <cell r="K168">
            <v>20.91</v>
          </cell>
          <cell r="L168">
            <v>20.91</v>
          </cell>
          <cell r="M168">
            <v>0.44444444444444442</v>
          </cell>
          <cell r="N168">
            <v>0.33333333333333331</v>
          </cell>
          <cell r="O168">
            <v>0.22222222222222221</v>
          </cell>
          <cell r="P168">
            <v>99</v>
          </cell>
          <cell r="Q168">
            <v>35.049999999999997</v>
          </cell>
          <cell r="R168">
            <v>3.5</v>
          </cell>
          <cell r="S168">
            <v>10.51</v>
          </cell>
          <cell r="T168">
            <v>10.51</v>
          </cell>
          <cell r="U168">
            <v>10.51</v>
          </cell>
          <cell r="V168">
            <v>5.8823529411764705E-2</v>
          </cell>
          <cell r="W168">
            <v>0.29411764705882354</v>
          </cell>
          <cell r="X168">
            <v>0.6470588235294118</v>
          </cell>
          <cell r="Y168">
            <v>40</v>
          </cell>
        </row>
        <row r="169">
          <cell r="A169" t="str">
            <v>2023-Chivas</v>
          </cell>
          <cell r="B169" t="str">
            <v>2023-Pachuca</v>
          </cell>
          <cell r="C169">
            <v>2023</v>
          </cell>
          <cell r="D169" t="str">
            <v>Chivas</v>
          </cell>
          <cell r="E169">
            <v>0</v>
          </cell>
          <cell r="F169">
            <v>0</v>
          </cell>
          <cell r="G169" t="str">
            <v>Pachuca</v>
          </cell>
          <cell r="H169">
            <v>69.7</v>
          </cell>
          <cell r="I169">
            <v>6.97</v>
          </cell>
          <cell r="J169">
            <v>20.91</v>
          </cell>
          <cell r="K169">
            <v>20.91</v>
          </cell>
          <cell r="L169">
            <v>20.91</v>
          </cell>
          <cell r="M169">
            <v>0.44444444444444442</v>
          </cell>
          <cell r="N169">
            <v>0.33333333333333331</v>
          </cell>
          <cell r="O169">
            <v>0.22222222222222221</v>
          </cell>
          <cell r="P169">
            <v>99</v>
          </cell>
          <cell r="Q169">
            <v>51.25</v>
          </cell>
          <cell r="R169">
            <v>5.13</v>
          </cell>
          <cell r="S169">
            <v>15.38</v>
          </cell>
          <cell r="T169">
            <v>15.38</v>
          </cell>
          <cell r="U169">
            <v>15.38</v>
          </cell>
          <cell r="V169">
            <v>0.26315789473684209</v>
          </cell>
          <cell r="W169">
            <v>0.15789473684210525</v>
          </cell>
          <cell r="X169">
            <v>0.57894736842105265</v>
          </cell>
          <cell r="Y169">
            <v>98</v>
          </cell>
        </row>
        <row r="170">
          <cell r="A170" t="str">
            <v>2023-América</v>
          </cell>
          <cell r="B170" t="str">
            <v>2023-Chivas</v>
          </cell>
          <cell r="C170">
            <v>2023</v>
          </cell>
          <cell r="D170" t="str">
            <v>América</v>
          </cell>
          <cell r="E170">
            <v>4</v>
          </cell>
          <cell r="F170">
            <v>0</v>
          </cell>
          <cell r="G170" t="str">
            <v>Chivas</v>
          </cell>
          <cell r="H170">
            <v>84.2</v>
          </cell>
          <cell r="I170">
            <v>8.42</v>
          </cell>
          <cell r="J170">
            <v>25.26</v>
          </cell>
          <cell r="K170">
            <v>25.26</v>
          </cell>
          <cell r="L170">
            <v>25.26</v>
          </cell>
          <cell r="M170">
            <v>0.65217391304347827</v>
          </cell>
          <cell r="N170">
            <v>0.21739130434782608</v>
          </cell>
          <cell r="O170">
            <v>0.13043478260869565</v>
          </cell>
          <cell r="P170">
            <v>133</v>
          </cell>
          <cell r="Q170" t="str">
            <v>NULL</v>
          </cell>
          <cell r="R170" t="str">
            <v>NULL</v>
          </cell>
          <cell r="S170" t="str">
            <v>NULL</v>
          </cell>
          <cell r="T170" t="str">
            <v>NULL</v>
          </cell>
          <cell r="U170" t="str">
            <v>NULL</v>
          </cell>
          <cell r="V170">
            <v>0.23529411764705882</v>
          </cell>
          <cell r="W170">
            <v>0.23529411764705882</v>
          </cell>
          <cell r="X170">
            <v>0.52941176470588236</v>
          </cell>
          <cell r="Y170">
            <v>99</v>
          </cell>
        </row>
        <row r="171">
          <cell r="A171" t="str">
            <v>2023-Chivas</v>
          </cell>
          <cell r="B171" t="str">
            <v>2023-Monterrey</v>
          </cell>
          <cell r="C171">
            <v>2023</v>
          </cell>
          <cell r="D171" t="str">
            <v>Chivas</v>
          </cell>
          <cell r="E171">
            <v>1</v>
          </cell>
          <cell r="F171">
            <v>2</v>
          </cell>
          <cell r="G171" t="str">
            <v>Monterrey</v>
          </cell>
          <cell r="H171">
            <v>69.7</v>
          </cell>
          <cell r="I171">
            <v>6.97</v>
          </cell>
          <cell r="J171">
            <v>20.91</v>
          </cell>
          <cell r="K171">
            <v>20.91</v>
          </cell>
          <cell r="L171">
            <v>20.91</v>
          </cell>
          <cell r="M171">
            <v>0.44444444444444442</v>
          </cell>
          <cell r="N171">
            <v>0.33333333333333331</v>
          </cell>
          <cell r="O171">
            <v>0.22222222222222221</v>
          </cell>
          <cell r="P171">
            <v>99</v>
          </cell>
          <cell r="Q171">
            <v>88.1</v>
          </cell>
          <cell r="R171">
            <v>8.81</v>
          </cell>
          <cell r="S171">
            <v>26.43</v>
          </cell>
          <cell r="T171">
            <v>26.43</v>
          </cell>
          <cell r="U171">
            <v>26.43</v>
          </cell>
          <cell r="V171">
            <v>0.38095238095238093</v>
          </cell>
          <cell r="W171">
            <v>0.23809523809523808</v>
          </cell>
          <cell r="X171">
            <v>0.38095238095238093</v>
          </cell>
          <cell r="Y171">
            <v>118</v>
          </cell>
        </row>
        <row r="172">
          <cell r="A172" t="str">
            <v>2023-Santos Laguna</v>
          </cell>
          <cell r="B172" t="str">
            <v>2023-Chivas</v>
          </cell>
          <cell r="C172">
            <v>2023</v>
          </cell>
          <cell r="D172" t="str">
            <v>Santos Laguna</v>
          </cell>
          <cell r="E172">
            <v>2</v>
          </cell>
          <cell r="F172">
            <v>1</v>
          </cell>
          <cell r="G172" t="str">
            <v>Chivas</v>
          </cell>
          <cell r="H172">
            <v>46</v>
          </cell>
          <cell r="I172">
            <v>4.5999999999999996</v>
          </cell>
          <cell r="J172">
            <v>13.8</v>
          </cell>
          <cell r="K172">
            <v>13.8</v>
          </cell>
          <cell r="L172">
            <v>13.8</v>
          </cell>
          <cell r="M172">
            <v>0.23529411764705882</v>
          </cell>
          <cell r="N172">
            <v>0.17647058823529413</v>
          </cell>
          <cell r="O172">
            <v>0.58823529411764708</v>
          </cell>
          <cell r="P172">
            <v>46</v>
          </cell>
          <cell r="Q172" t="str">
            <v>NULL</v>
          </cell>
          <cell r="R172" t="str">
            <v>NULL</v>
          </cell>
          <cell r="S172" t="str">
            <v>NULL</v>
          </cell>
          <cell r="T172" t="str">
            <v>NULL</v>
          </cell>
          <cell r="U172" t="str">
            <v>NULL</v>
          </cell>
          <cell r="V172">
            <v>0.23529411764705882</v>
          </cell>
          <cell r="W172">
            <v>0.23529411764705882</v>
          </cell>
          <cell r="X172">
            <v>0.52941176470588236</v>
          </cell>
          <cell r="Y172">
            <v>99</v>
          </cell>
        </row>
        <row r="173">
          <cell r="A173" t="str">
            <v>2023-Chivas</v>
          </cell>
          <cell r="B173" t="str">
            <v>2023-Xolos</v>
          </cell>
          <cell r="C173">
            <v>2023</v>
          </cell>
          <cell r="D173" t="str">
            <v>Chivas</v>
          </cell>
          <cell r="E173">
            <v>1</v>
          </cell>
          <cell r="F173">
            <v>0</v>
          </cell>
          <cell r="G173" t="str">
            <v>Xolos</v>
          </cell>
          <cell r="H173">
            <v>69.7</v>
          </cell>
          <cell r="I173">
            <v>6.97</v>
          </cell>
          <cell r="J173">
            <v>20.91</v>
          </cell>
          <cell r="K173">
            <v>20.91</v>
          </cell>
          <cell r="L173">
            <v>20.91</v>
          </cell>
          <cell r="M173">
            <v>0.44444444444444442</v>
          </cell>
          <cell r="N173">
            <v>0.33333333333333331</v>
          </cell>
          <cell r="O173">
            <v>0.22222222222222221</v>
          </cell>
          <cell r="P173">
            <v>99</v>
          </cell>
          <cell r="Q173" t="str">
            <v>NULL</v>
          </cell>
          <cell r="R173" t="str">
            <v>NULL</v>
          </cell>
          <cell r="S173" t="str">
            <v>NULL</v>
          </cell>
          <cell r="T173" t="str">
            <v>NULL</v>
          </cell>
          <cell r="U173" t="str">
            <v>NULL</v>
          </cell>
          <cell r="V173">
            <v>0.27777777777777779</v>
          </cell>
          <cell r="W173">
            <v>0.22222222222222221</v>
          </cell>
          <cell r="X173">
            <v>0.5</v>
          </cell>
          <cell r="Y173">
            <v>49</v>
          </cell>
        </row>
        <row r="174">
          <cell r="A174" t="str">
            <v>2023-Juarez</v>
          </cell>
          <cell r="B174" t="str">
            <v>2023-Chivas</v>
          </cell>
          <cell r="C174">
            <v>2023</v>
          </cell>
          <cell r="D174" t="str">
            <v>Juarez</v>
          </cell>
          <cell r="E174">
            <v>1</v>
          </cell>
          <cell r="F174">
            <v>1</v>
          </cell>
          <cell r="G174" t="str">
            <v>Chivas</v>
          </cell>
          <cell r="H174" t="str">
            <v>NULL</v>
          </cell>
          <cell r="I174" t="str">
            <v>NULL</v>
          </cell>
          <cell r="J174" t="str">
            <v>NULL</v>
          </cell>
          <cell r="K174" t="str">
            <v>NULL</v>
          </cell>
          <cell r="L174" t="str">
            <v>NULL</v>
          </cell>
          <cell r="M174">
            <v>0.27777777777777779</v>
          </cell>
          <cell r="N174">
            <v>0.33333333333333331</v>
          </cell>
          <cell r="O174">
            <v>0.3888888888888889</v>
          </cell>
          <cell r="P174">
            <v>55</v>
          </cell>
          <cell r="Q174" t="str">
            <v>NULL</v>
          </cell>
          <cell r="R174" t="str">
            <v>NULL</v>
          </cell>
          <cell r="S174" t="str">
            <v>NULL</v>
          </cell>
          <cell r="T174" t="str">
            <v>NULL</v>
          </cell>
          <cell r="U174" t="str">
            <v>NULL</v>
          </cell>
          <cell r="V174">
            <v>0.23529411764705882</v>
          </cell>
          <cell r="W174">
            <v>0.23529411764705882</v>
          </cell>
          <cell r="X174">
            <v>0.52941176470588236</v>
          </cell>
          <cell r="Y174">
            <v>99</v>
          </cell>
        </row>
        <row r="175">
          <cell r="A175" t="str">
            <v>2023-Chivas</v>
          </cell>
          <cell r="B175" t="str">
            <v>2023-Necaxa</v>
          </cell>
          <cell r="C175">
            <v>2023</v>
          </cell>
          <cell r="D175" t="str">
            <v>Chivas</v>
          </cell>
          <cell r="E175">
            <v>2</v>
          </cell>
          <cell r="F175">
            <v>0</v>
          </cell>
          <cell r="G175" t="str">
            <v>Necaxa</v>
          </cell>
          <cell r="H175">
            <v>69.7</v>
          </cell>
          <cell r="I175">
            <v>6.97</v>
          </cell>
          <cell r="J175">
            <v>20.91</v>
          </cell>
          <cell r="K175">
            <v>20.91</v>
          </cell>
          <cell r="L175">
            <v>20.91</v>
          </cell>
          <cell r="M175">
            <v>0.44444444444444442</v>
          </cell>
          <cell r="N175">
            <v>0.33333333333333331</v>
          </cell>
          <cell r="O175">
            <v>0.22222222222222221</v>
          </cell>
          <cell r="P175">
            <v>99</v>
          </cell>
          <cell r="Q175">
            <v>40</v>
          </cell>
          <cell r="R175">
            <v>4</v>
          </cell>
          <cell r="S175">
            <v>12</v>
          </cell>
          <cell r="T175">
            <v>12</v>
          </cell>
          <cell r="U175">
            <v>12</v>
          </cell>
          <cell r="V175">
            <v>0.27777777777777779</v>
          </cell>
          <cell r="W175">
            <v>0.27777777777777779</v>
          </cell>
          <cell r="X175">
            <v>0.44444444444444442</v>
          </cell>
          <cell r="Y175">
            <v>77</v>
          </cell>
        </row>
        <row r="176">
          <cell r="A176" t="str">
            <v>2023-Chivas</v>
          </cell>
          <cell r="B176" t="str">
            <v>2023-Atlético San Luis</v>
          </cell>
          <cell r="C176">
            <v>2023</v>
          </cell>
          <cell r="D176" t="str">
            <v>Chivas</v>
          </cell>
          <cell r="E176">
            <v>3</v>
          </cell>
          <cell r="F176">
            <v>1</v>
          </cell>
          <cell r="G176" t="str">
            <v>Atlético San Luis</v>
          </cell>
          <cell r="H176">
            <v>69.7</v>
          </cell>
          <cell r="I176">
            <v>6.97</v>
          </cell>
          <cell r="J176">
            <v>20.91</v>
          </cell>
          <cell r="K176">
            <v>20.91</v>
          </cell>
          <cell r="L176">
            <v>20.91</v>
          </cell>
          <cell r="M176">
            <v>0.44444444444444442</v>
          </cell>
          <cell r="N176">
            <v>0.33333333333333331</v>
          </cell>
          <cell r="O176">
            <v>0.22222222222222221</v>
          </cell>
          <cell r="P176">
            <v>99</v>
          </cell>
          <cell r="Q176">
            <v>35.85</v>
          </cell>
          <cell r="R176">
            <v>3.59</v>
          </cell>
          <cell r="S176">
            <v>10.77</v>
          </cell>
          <cell r="T176">
            <v>10.77</v>
          </cell>
          <cell r="U176">
            <v>10.77</v>
          </cell>
          <cell r="V176">
            <v>0.21052631578947367</v>
          </cell>
          <cell r="W176">
            <v>0.15789473684210525</v>
          </cell>
          <cell r="X176">
            <v>0.63157894736842102</v>
          </cell>
          <cell r="Y176">
            <v>59</v>
          </cell>
        </row>
        <row r="177">
          <cell r="A177" t="str">
            <v>2023-León</v>
          </cell>
          <cell r="B177" t="str">
            <v>2023-Chivas</v>
          </cell>
          <cell r="C177">
            <v>2023</v>
          </cell>
          <cell r="D177" t="str">
            <v>León</v>
          </cell>
          <cell r="E177">
            <v>1</v>
          </cell>
          <cell r="F177">
            <v>2</v>
          </cell>
          <cell r="G177" t="str">
            <v>Chivas</v>
          </cell>
          <cell r="H177">
            <v>41.5</v>
          </cell>
          <cell r="I177">
            <v>4.1500000000000004</v>
          </cell>
          <cell r="J177">
            <v>12.45</v>
          </cell>
          <cell r="K177">
            <v>12.45</v>
          </cell>
          <cell r="L177">
            <v>12.45</v>
          </cell>
          <cell r="M177">
            <v>0.3888888888888889</v>
          </cell>
          <cell r="N177">
            <v>0.3888888888888889</v>
          </cell>
          <cell r="O177">
            <v>0.22222222222222221</v>
          </cell>
          <cell r="P177">
            <v>87</v>
          </cell>
          <cell r="Q177" t="str">
            <v>NULL</v>
          </cell>
          <cell r="R177" t="str">
            <v>NULL</v>
          </cell>
          <cell r="S177" t="str">
            <v>NULL</v>
          </cell>
          <cell r="T177" t="str">
            <v>NULL</v>
          </cell>
          <cell r="U177" t="str">
            <v>NULL</v>
          </cell>
          <cell r="V177">
            <v>0.23529411764705882</v>
          </cell>
          <cell r="W177">
            <v>0.23529411764705882</v>
          </cell>
          <cell r="X177">
            <v>0.52941176470588236</v>
          </cell>
          <cell r="Y177">
            <v>99</v>
          </cell>
        </row>
        <row r="178">
          <cell r="A178" t="str">
            <v>2024-Juarez</v>
          </cell>
          <cell r="B178" t="str">
            <v>2024-León</v>
          </cell>
          <cell r="C178">
            <v>2024</v>
          </cell>
          <cell r="D178" t="str">
            <v>Juarez</v>
          </cell>
          <cell r="E178">
            <v>1</v>
          </cell>
          <cell r="F178">
            <v>1</v>
          </cell>
          <cell r="G178" t="str">
            <v>León</v>
          </cell>
          <cell r="H178" t="str">
            <v>NULL</v>
          </cell>
          <cell r="I178" t="str">
            <v>NULL</v>
          </cell>
          <cell r="J178" t="str">
            <v>NULL</v>
          </cell>
          <cell r="K178" t="str">
            <v>NULL</v>
          </cell>
          <cell r="L178" t="str">
            <v>NULL</v>
          </cell>
          <cell r="M178">
            <v>0.27777777777777779</v>
          </cell>
          <cell r="N178">
            <v>0.33333333333333331</v>
          </cell>
          <cell r="O178">
            <v>0.3888888888888889</v>
          </cell>
          <cell r="P178">
            <v>55</v>
          </cell>
          <cell r="Q178">
            <v>29.55</v>
          </cell>
          <cell r="R178">
            <v>2.96</v>
          </cell>
          <cell r="S178">
            <v>8.8699999999999992</v>
          </cell>
          <cell r="T178">
            <v>8.8699999999999992</v>
          </cell>
          <cell r="U178">
            <v>8.8699999999999992</v>
          </cell>
          <cell r="V178">
            <v>0.27777777777777779</v>
          </cell>
          <cell r="W178">
            <v>0.27777777777777779</v>
          </cell>
          <cell r="X178">
            <v>0.44444444444444442</v>
          </cell>
          <cell r="Y178">
            <v>87</v>
          </cell>
        </row>
        <row r="179">
          <cell r="A179" t="str">
            <v>2024-Juarez</v>
          </cell>
          <cell r="B179" t="str">
            <v>2024-Xolos</v>
          </cell>
          <cell r="C179">
            <v>2024</v>
          </cell>
          <cell r="D179" t="str">
            <v>Juarez</v>
          </cell>
          <cell r="E179">
            <v>0</v>
          </cell>
          <cell r="F179">
            <v>1</v>
          </cell>
          <cell r="G179" t="str">
            <v>Xolos</v>
          </cell>
          <cell r="H179" t="str">
            <v>NULL</v>
          </cell>
          <cell r="I179" t="str">
            <v>NULL</v>
          </cell>
          <cell r="J179" t="str">
            <v>NULL</v>
          </cell>
          <cell r="K179" t="str">
            <v>NULL</v>
          </cell>
          <cell r="L179" t="str">
            <v>NULL</v>
          </cell>
          <cell r="M179">
            <v>0.27777777777777779</v>
          </cell>
          <cell r="N179">
            <v>0.33333333333333331</v>
          </cell>
          <cell r="O179">
            <v>0.3888888888888889</v>
          </cell>
          <cell r="P179">
            <v>55</v>
          </cell>
          <cell r="Q179">
            <v>39.15</v>
          </cell>
          <cell r="R179">
            <v>3.92</v>
          </cell>
          <cell r="S179">
            <v>11.75</v>
          </cell>
          <cell r="T179">
            <v>11.75</v>
          </cell>
          <cell r="U179">
            <v>11.75</v>
          </cell>
          <cell r="V179">
            <v>0.27777777777777779</v>
          </cell>
          <cell r="W179">
            <v>0.22222222222222221</v>
          </cell>
          <cell r="X179">
            <v>0.5</v>
          </cell>
          <cell r="Y179">
            <v>49</v>
          </cell>
        </row>
        <row r="180">
          <cell r="A180" t="str">
            <v>2024-Atlético San Luis</v>
          </cell>
          <cell r="B180" t="str">
            <v>2024-Juarez</v>
          </cell>
          <cell r="C180">
            <v>2024</v>
          </cell>
          <cell r="D180" t="str">
            <v>Atlético San Luis</v>
          </cell>
          <cell r="E180">
            <v>2</v>
          </cell>
          <cell r="F180">
            <v>3</v>
          </cell>
          <cell r="G180" t="str">
            <v>Juarez</v>
          </cell>
          <cell r="H180">
            <v>45.95</v>
          </cell>
          <cell r="I180">
            <v>4.5999999999999996</v>
          </cell>
          <cell r="J180">
            <v>13.84</v>
          </cell>
          <cell r="K180">
            <v>13.84</v>
          </cell>
          <cell r="L180">
            <v>13.84</v>
          </cell>
          <cell r="M180">
            <v>0.68421052631578949</v>
          </cell>
          <cell r="N180">
            <v>5.2631578947368418E-2</v>
          </cell>
          <cell r="O180">
            <v>0.26315789473684209</v>
          </cell>
          <cell r="P180">
            <v>59</v>
          </cell>
          <cell r="Q180" t="str">
            <v>NULL</v>
          </cell>
          <cell r="R180" t="str">
            <v>NULL</v>
          </cell>
          <cell r="S180" t="str">
            <v>NULL</v>
          </cell>
          <cell r="T180" t="str">
            <v>NULL</v>
          </cell>
          <cell r="U180" t="str">
            <v>NULL</v>
          </cell>
          <cell r="V180">
            <v>0.35294117647058826</v>
          </cell>
          <cell r="W180">
            <v>0.17647058823529413</v>
          </cell>
          <cell r="X180">
            <v>0.47058823529411764</v>
          </cell>
          <cell r="Y180">
            <v>55</v>
          </cell>
        </row>
        <row r="181">
          <cell r="A181" t="str">
            <v>2024-Juarez</v>
          </cell>
          <cell r="B181" t="str">
            <v>2024-Santos Laguna</v>
          </cell>
          <cell r="C181">
            <v>2024</v>
          </cell>
          <cell r="D181" t="str">
            <v>Juarez</v>
          </cell>
          <cell r="E181">
            <v>2</v>
          </cell>
          <cell r="F181">
            <v>1</v>
          </cell>
          <cell r="G181" t="str">
            <v>Santos Laguna</v>
          </cell>
          <cell r="H181" t="str">
            <v>NULL</v>
          </cell>
          <cell r="I181" t="str">
            <v>NULL</v>
          </cell>
          <cell r="J181" t="str">
            <v>NULL</v>
          </cell>
          <cell r="K181" t="str">
            <v>NULL</v>
          </cell>
          <cell r="L181" t="str">
            <v>NULL</v>
          </cell>
          <cell r="M181">
            <v>0.27777777777777779</v>
          </cell>
          <cell r="N181">
            <v>0.33333333333333331</v>
          </cell>
          <cell r="O181">
            <v>0.3888888888888889</v>
          </cell>
          <cell r="P181">
            <v>55</v>
          </cell>
          <cell r="Q181" t="str">
            <v>NULL</v>
          </cell>
          <cell r="R181" t="str">
            <v>NULL</v>
          </cell>
          <cell r="S181" t="str">
            <v>NULL</v>
          </cell>
          <cell r="T181" t="str">
            <v>NULL</v>
          </cell>
          <cell r="U181" t="str">
            <v>NULL</v>
          </cell>
          <cell r="V181">
            <v>0</v>
          </cell>
          <cell r="W181">
            <v>0.11764705882352941</v>
          </cell>
          <cell r="X181">
            <v>0.88235294117647056</v>
          </cell>
          <cell r="Y181">
            <v>46</v>
          </cell>
        </row>
        <row r="182">
          <cell r="A182" t="str">
            <v>2024-Juarez</v>
          </cell>
          <cell r="B182" t="str">
            <v>2024-Puebla</v>
          </cell>
          <cell r="C182">
            <v>2024</v>
          </cell>
          <cell r="D182" t="str">
            <v>Juarez</v>
          </cell>
          <cell r="E182">
            <v>4</v>
          </cell>
          <cell r="F182">
            <v>3</v>
          </cell>
          <cell r="G182" t="str">
            <v>Puebla</v>
          </cell>
          <cell r="H182" t="str">
            <v>NULL</v>
          </cell>
          <cell r="I182" t="str">
            <v>NULL</v>
          </cell>
          <cell r="J182" t="str">
            <v>NULL</v>
          </cell>
          <cell r="K182" t="str">
            <v>NULL</v>
          </cell>
          <cell r="L182" t="str">
            <v>NULL</v>
          </cell>
          <cell r="M182">
            <v>0.27777777777777779</v>
          </cell>
          <cell r="N182">
            <v>0.33333333333333331</v>
          </cell>
          <cell r="O182">
            <v>0.3888888888888889</v>
          </cell>
          <cell r="P182">
            <v>55</v>
          </cell>
          <cell r="Q182">
            <v>24.1</v>
          </cell>
          <cell r="R182">
            <v>2.41</v>
          </cell>
          <cell r="S182">
            <v>7.23</v>
          </cell>
          <cell r="T182">
            <v>7.23</v>
          </cell>
          <cell r="U182">
            <v>7.23</v>
          </cell>
          <cell r="V182">
            <v>0.11764705882352941</v>
          </cell>
          <cell r="W182">
            <v>0.17647058823529413</v>
          </cell>
          <cell r="X182">
            <v>0.70588235294117652</v>
          </cell>
          <cell r="Y182">
            <v>34</v>
          </cell>
        </row>
        <row r="183">
          <cell r="A183" t="str">
            <v>2024-Juarez</v>
          </cell>
          <cell r="B183" t="str">
            <v>2024-Toluca</v>
          </cell>
          <cell r="C183">
            <v>2024</v>
          </cell>
          <cell r="D183" t="str">
            <v>Juarez</v>
          </cell>
          <cell r="E183">
            <v>1</v>
          </cell>
          <cell r="F183">
            <v>1</v>
          </cell>
          <cell r="G183" t="str">
            <v>Toluca</v>
          </cell>
          <cell r="H183" t="str">
            <v>NULL</v>
          </cell>
          <cell r="I183" t="str">
            <v>NULL</v>
          </cell>
          <cell r="J183" t="str">
            <v>NULL</v>
          </cell>
          <cell r="K183" t="str">
            <v>NULL</v>
          </cell>
          <cell r="L183" t="str">
            <v>NULL</v>
          </cell>
          <cell r="M183">
            <v>0.27777777777777779</v>
          </cell>
          <cell r="N183">
            <v>0.33333333333333331</v>
          </cell>
          <cell r="O183">
            <v>0.3888888888888889</v>
          </cell>
          <cell r="P183">
            <v>55</v>
          </cell>
          <cell r="Q183">
            <v>77.45</v>
          </cell>
          <cell r="R183">
            <v>7.75</v>
          </cell>
          <cell r="S183">
            <v>23.24</v>
          </cell>
          <cell r="T183">
            <v>23.24</v>
          </cell>
          <cell r="U183">
            <v>23.24</v>
          </cell>
          <cell r="V183">
            <v>0.38095238095238093</v>
          </cell>
          <cell r="W183">
            <v>0.33333333333333331</v>
          </cell>
          <cell r="X183">
            <v>0.2857142857142857</v>
          </cell>
          <cell r="Y183">
            <v>118</v>
          </cell>
        </row>
        <row r="184">
          <cell r="A184" t="str">
            <v>2024-Pachuca</v>
          </cell>
          <cell r="B184" t="str">
            <v>2024-Juarez</v>
          </cell>
          <cell r="C184">
            <v>2024</v>
          </cell>
          <cell r="D184" t="str">
            <v>Pachuca</v>
          </cell>
          <cell r="E184">
            <v>3</v>
          </cell>
          <cell r="F184">
            <v>2</v>
          </cell>
          <cell r="G184" t="str">
            <v>Juarez</v>
          </cell>
          <cell r="H184">
            <v>56.6</v>
          </cell>
          <cell r="I184">
            <v>5.66</v>
          </cell>
          <cell r="J184">
            <v>16.98</v>
          </cell>
          <cell r="K184">
            <v>16.98</v>
          </cell>
          <cell r="L184">
            <v>16.98</v>
          </cell>
          <cell r="M184">
            <v>0.3888888888888889</v>
          </cell>
          <cell r="N184">
            <v>0.33333333333333331</v>
          </cell>
          <cell r="O184">
            <v>0.27777777777777779</v>
          </cell>
          <cell r="P184">
            <v>98</v>
          </cell>
          <cell r="Q184" t="str">
            <v>NULL</v>
          </cell>
          <cell r="R184" t="str">
            <v>NULL</v>
          </cell>
          <cell r="S184" t="str">
            <v>NULL</v>
          </cell>
          <cell r="T184" t="str">
            <v>NULL</v>
          </cell>
          <cell r="U184" t="str">
            <v>NULL</v>
          </cell>
          <cell r="V184">
            <v>0.35294117647058826</v>
          </cell>
          <cell r="W184">
            <v>0.17647058823529413</v>
          </cell>
          <cell r="X184">
            <v>0.47058823529411764</v>
          </cell>
          <cell r="Y184">
            <v>55</v>
          </cell>
        </row>
        <row r="185">
          <cell r="A185" t="str">
            <v>2024-Tigres</v>
          </cell>
          <cell r="B185" t="str">
            <v>2024-Juarez</v>
          </cell>
          <cell r="C185">
            <v>2024</v>
          </cell>
          <cell r="D185" t="str">
            <v>Tigres</v>
          </cell>
          <cell r="E185">
            <v>1</v>
          </cell>
          <cell r="F185">
            <v>0</v>
          </cell>
          <cell r="G185" t="str">
            <v>Juarez</v>
          </cell>
          <cell r="H185">
            <v>67</v>
          </cell>
          <cell r="I185">
            <v>6.7</v>
          </cell>
          <cell r="J185">
            <v>20.100000000000001</v>
          </cell>
          <cell r="K185">
            <v>20.100000000000001</v>
          </cell>
          <cell r="L185">
            <v>20.100000000000001</v>
          </cell>
          <cell r="M185">
            <v>0.7</v>
          </cell>
          <cell r="N185">
            <v>0.25</v>
          </cell>
          <cell r="O185">
            <v>0.05</v>
          </cell>
          <cell r="P185">
            <v>107</v>
          </cell>
          <cell r="Q185" t="str">
            <v>NULL</v>
          </cell>
          <cell r="R185" t="str">
            <v>NULL</v>
          </cell>
          <cell r="S185" t="str">
            <v>NULL</v>
          </cell>
          <cell r="T185" t="str">
            <v>NULL</v>
          </cell>
          <cell r="U185" t="str">
            <v>NULL</v>
          </cell>
          <cell r="V185">
            <v>0.35294117647058826</v>
          </cell>
          <cell r="W185">
            <v>0.17647058823529413</v>
          </cell>
          <cell r="X185">
            <v>0.47058823529411764</v>
          </cell>
          <cell r="Y185">
            <v>55</v>
          </cell>
        </row>
        <row r="186">
          <cell r="A186" t="str">
            <v>2024-Juarez</v>
          </cell>
          <cell r="B186" t="str">
            <v>2024-Monterrey</v>
          </cell>
          <cell r="C186">
            <v>2024</v>
          </cell>
          <cell r="D186" t="str">
            <v>Juarez</v>
          </cell>
          <cell r="E186">
            <v>0</v>
          </cell>
          <cell r="F186">
            <v>3</v>
          </cell>
          <cell r="G186" t="str">
            <v>Monterrey</v>
          </cell>
          <cell r="H186" t="str">
            <v>NULL</v>
          </cell>
          <cell r="I186" t="str">
            <v>NULL</v>
          </cell>
          <cell r="J186" t="str">
            <v>NULL</v>
          </cell>
          <cell r="K186" t="str">
            <v>NULL</v>
          </cell>
          <cell r="L186" t="str">
            <v>NULL</v>
          </cell>
          <cell r="M186">
            <v>0.27777777777777779</v>
          </cell>
          <cell r="N186">
            <v>0.33333333333333331</v>
          </cell>
          <cell r="O186">
            <v>0.3888888888888889</v>
          </cell>
          <cell r="P186">
            <v>55</v>
          </cell>
          <cell r="Q186">
            <v>88.6</v>
          </cell>
          <cell r="R186">
            <v>8.86</v>
          </cell>
          <cell r="S186">
            <v>26.58</v>
          </cell>
          <cell r="T186">
            <v>26.58</v>
          </cell>
          <cell r="U186">
            <v>26.58</v>
          </cell>
          <cell r="V186">
            <v>0.38095238095238093</v>
          </cell>
          <cell r="W186">
            <v>0.23809523809523808</v>
          </cell>
          <cell r="X186">
            <v>0.38095238095238093</v>
          </cell>
          <cell r="Y186">
            <v>118</v>
          </cell>
        </row>
        <row r="187">
          <cell r="A187" t="str">
            <v>2024-Juarez</v>
          </cell>
          <cell r="B187" t="str">
            <v>2024-Necaxa</v>
          </cell>
          <cell r="C187">
            <v>2024</v>
          </cell>
          <cell r="D187" t="str">
            <v>Juarez</v>
          </cell>
          <cell r="E187">
            <v>2</v>
          </cell>
          <cell r="F187">
            <v>2</v>
          </cell>
          <cell r="G187" t="str">
            <v>Necaxa</v>
          </cell>
          <cell r="H187" t="str">
            <v>NULL</v>
          </cell>
          <cell r="I187" t="str">
            <v>NULL</v>
          </cell>
          <cell r="J187" t="str">
            <v>NULL</v>
          </cell>
          <cell r="K187" t="str">
            <v>NULL</v>
          </cell>
          <cell r="L187" t="str">
            <v>NULL</v>
          </cell>
          <cell r="M187">
            <v>0.27777777777777779</v>
          </cell>
          <cell r="N187">
            <v>0.33333333333333331</v>
          </cell>
          <cell r="O187">
            <v>0.3888888888888889</v>
          </cell>
          <cell r="P187">
            <v>55</v>
          </cell>
          <cell r="Q187">
            <v>38.5</v>
          </cell>
          <cell r="R187">
            <v>3.85</v>
          </cell>
          <cell r="S187">
            <v>11.55</v>
          </cell>
          <cell r="T187">
            <v>11.55</v>
          </cell>
          <cell r="U187">
            <v>11.55</v>
          </cell>
          <cell r="V187">
            <v>0.27777777777777779</v>
          </cell>
          <cell r="W187">
            <v>0.27777777777777779</v>
          </cell>
          <cell r="X187">
            <v>0.44444444444444442</v>
          </cell>
          <cell r="Y187">
            <v>77</v>
          </cell>
        </row>
        <row r="188">
          <cell r="A188" t="str">
            <v>2024-Juarez</v>
          </cell>
          <cell r="B188" t="str">
            <v>2024-América</v>
          </cell>
          <cell r="C188">
            <v>2024</v>
          </cell>
          <cell r="D188" t="str">
            <v>Juarez</v>
          </cell>
          <cell r="E188">
            <v>0</v>
          </cell>
          <cell r="F188">
            <v>2</v>
          </cell>
          <cell r="G188" t="str">
            <v>América</v>
          </cell>
          <cell r="H188" t="str">
            <v>NULL</v>
          </cell>
          <cell r="I188" t="str">
            <v>NULL</v>
          </cell>
          <cell r="J188" t="str">
            <v>NULL</v>
          </cell>
          <cell r="K188" t="str">
            <v>NULL</v>
          </cell>
          <cell r="L188" t="str">
            <v>NULL</v>
          </cell>
          <cell r="M188">
            <v>0.27777777777777779</v>
          </cell>
          <cell r="N188">
            <v>0.33333333333333331</v>
          </cell>
          <cell r="O188">
            <v>0.3888888888888889</v>
          </cell>
          <cell r="P188">
            <v>55</v>
          </cell>
          <cell r="Q188">
            <v>92.45</v>
          </cell>
          <cell r="R188">
            <v>9.25</v>
          </cell>
          <cell r="S188">
            <v>27.73</v>
          </cell>
          <cell r="T188">
            <v>27.73</v>
          </cell>
          <cell r="U188">
            <v>27.73</v>
          </cell>
          <cell r="V188">
            <v>0.375</v>
          </cell>
          <cell r="W188">
            <v>0.29166666666666669</v>
          </cell>
          <cell r="X188">
            <v>0.33333333333333331</v>
          </cell>
          <cell r="Y188">
            <v>133</v>
          </cell>
        </row>
        <row r="189">
          <cell r="A189" t="str">
            <v>2024-Juarez</v>
          </cell>
          <cell r="B189" t="str">
            <v>2024-Cruz Azul</v>
          </cell>
          <cell r="C189">
            <v>2024</v>
          </cell>
          <cell r="D189" t="str">
            <v>Juarez</v>
          </cell>
          <cell r="E189">
            <v>0</v>
          </cell>
          <cell r="F189">
            <v>0</v>
          </cell>
          <cell r="G189" t="str">
            <v>Cruz Azul</v>
          </cell>
          <cell r="H189" t="str">
            <v>NULL</v>
          </cell>
          <cell r="I189" t="str">
            <v>NULL</v>
          </cell>
          <cell r="J189" t="str">
            <v>NULL</v>
          </cell>
          <cell r="K189" t="str">
            <v>NULL</v>
          </cell>
          <cell r="L189" t="str">
            <v>NULL</v>
          </cell>
          <cell r="M189">
            <v>0.27777777777777779</v>
          </cell>
          <cell r="N189">
            <v>0.33333333333333331</v>
          </cell>
          <cell r="O189">
            <v>0.3888888888888889</v>
          </cell>
          <cell r="P189">
            <v>55</v>
          </cell>
          <cell r="Q189">
            <v>78.849999999999994</v>
          </cell>
          <cell r="R189">
            <v>7.89</v>
          </cell>
          <cell r="S189">
            <v>23.66</v>
          </cell>
          <cell r="T189">
            <v>23.66</v>
          </cell>
          <cell r="U189">
            <v>23.66</v>
          </cell>
          <cell r="V189">
            <v>0.52380952380952384</v>
          </cell>
          <cell r="W189">
            <v>0.23809523809523808</v>
          </cell>
          <cell r="X189">
            <v>0.23809523809523808</v>
          </cell>
          <cell r="Y189">
            <v>107</v>
          </cell>
        </row>
        <row r="190">
          <cell r="A190" t="str">
            <v>2023-León</v>
          </cell>
          <cell r="B190" t="str">
            <v>2023-Juarez</v>
          </cell>
          <cell r="C190">
            <v>2023</v>
          </cell>
          <cell r="D190" t="str">
            <v>León</v>
          </cell>
          <cell r="E190">
            <v>2</v>
          </cell>
          <cell r="F190">
            <v>1</v>
          </cell>
          <cell r="G190" t="str">
            <v>Juarez</v>
          </cell>
          <cell r="H190">
            <v>41.5</v>
          </cell>
          <cell r="I190">
            <v>4.1500000000000004</v>
          </cell>
          <cell r="J190">
            <v>12.45</v>
          </cell>
          <cell r="K190">
            <v>12.45</v>
          </cell>
          <cell r="L190">
            <v>12.45</v>
          </cell>
          <cell r="M190">
            <v>0.3888888888888889</v>
          </cell>
          <cell r="N190">
            <v>0.3888888888888889</v>
          </cell>
          <cell r="O190">
            <v>0.22222222222222221</v>
          </cell>
          <cell r="P190">
            <v>87</v>
          </cell>
          <cell r="Q190" t="str">
            <v>NULL</v>
          </cell>
          <cell r="R190" t="str">
            <v>NULL</v>
          </cell>
          <cell r="S190" t="str">
            <v>NULL</v>
          </cell>
          <cell r="T190" t="str">
            <v>NULL</v>
          </cell>
          <cell r="U190" t="str">
            <v>NULL</v>
          </cell>
          <cell r="V190">
            <v>0.35294117647058826</v>
          </cell>
          <cell r="W190">
            <v>0.17647058823529413</v>
          </cell>
          <cell r="X190">
            <v>0.47058823529411764</v>
          </cell>
          <cell r="Y190">
            <v>55</v>
          </cell>
        </row>
        <row r="191">
          <cell r="A191" t="str">
            <v>2023-Cruz Azul</v>
          </cell>
          <cell r="B191" t="str">
            <v>2023-Juarez</v>
          </cell>
          <cell r="C191">
            <v>2023</v>
          </cell>
          <cell r="D191" t="str">
            <v>Cruz Azul</v>
          </cell>
          <cell r="E191">
            <v>2</v>
          </cell>
          <cell r="F191">
            <v>0</v>
          </cell>
          <cell r="G191" t="str">
            <v>Juarez</v>
          </cell>
          <cell r="H191">
            <v>72.2</v>
          </cell>
          <cell r="I191">
            <v>7.22</v>
          </cell>
          <cell r="J191">
            <v>21.66</v>
          </cell>
          <cell r="K191">
            <v>21.66</v>
          </cell>
          <cell r="L191">
            <v>21.66</v>
          </cell>
          <cell r="M191">
            <v>0.7142857142857143</v>
          </cell>
          <cell r="N191">
            <v>0.23809523809523808</v>
          </cell>
          <cell r="O191">
            <v>4.7619047619047616E-2</v>
          </cell>
          <cell r="P191">
            <v>107</v>
          </cell>
          <cell r="Q191" t="str">
            <v>NULL</v>
          </cell>
          <cell r="R191" t="str">
            <v>NULL</v>
          </cell>
          <cell r="S191" t="str">
            <v>NULL</v>
          </cell>
          <cell r="T191" t="str">
            <v>NULL</v>
          </cell>
          <cell r="U191" t="str">
            <v>NULL</v>
          </cell>
          <cell r="V191">
            <v>0.35294117647058826</v>
          </cell>
          <cell r="W191">
            <v>0.17647058823529413</v>
          </cell>
          <cell r="X191">
            <v>0.47058823529411764</v>
          </cell>
          <cell r="Y191">
            <v>55</v>
          </cell>
        </row>
        <row r="192">
          <cell r="A192" t="str">
            <v>2023-Santos Laguna</v>
          </cell>
          <cell r="B192" t="str">
            <v>2023-Juarez</v>
          </cell>
          <cell r="C192">
            <v>2023</v>
          </cell>
          <cell r="D192" t="str">
            <v>Santos Laguna</v>
          </cell>
          <cell r="E192">
            <v>5</v>
          </cell>
          <cell r="F192">
            <v>1</v>
          </cell>
          <cell r="G192" t="str">
            <v>Juarez</v>
          </cell>
          <cell r="H192">
            <v>46</v>
          </cell>
          <cell r="I192">
            <v>4.5999999999999996</v>
          </cell>
          <cell r="J192">
            <v>13.8</v>
          </cell>
          <cell r="K192">
            <v>13.8</v>
          </cell>
          <cell r="L192">
            <v>13.8</v>
          </cell>
          <cell r="M192">
            <v>0.23529411764705882</v>
          </cell>
          <cell r="N192">
            <v>0.17647058823529413</v>
          </cell>
          <cell r="O192">
            <v>0.58823529411764708</v>
          </cell>
          <cell r="P192">
            <v>46</v>
          </cell>
          <cell r="Q192" t="str">
            <v>NULL</v>
          </cell>
          <cell r="R192" t="str">
            <v>NULL</v>
          </cell>
          <cell r="S192" t="str">
            <v>NULL</v>
          </cell>
          <cell r="T192" t="str">
            <v>NULL</v>
          </cell>
          <cell r="U192" t="str">
            <v>NULL</v>
          </cell>
          <cell r="V192">
            <v>0.35294117647058826</v>
          </cell>
          <cell r="W192">
            <v>0.17647058823529413</v>
          </cell>
          <cell r="X192">
            <v>0.47058823529411764</v>
          </cell>
          <cell r="Y192">
            <v>55</v>
          </cell>
        </row>
        <row r="193">
          <cell r="A193" t="str">
            <v>2023-Juarez</v>
          </cell>
          <cell r="B193" t="str">
            <v>2023-Atlético San Luis</v>
          </cell>
          <cell r="C193">
            <v>2023</v>
          </cell>
          <cell r="D193" t="str">
            <v>Juarez</v>
          </cell>
          <cell r="E193">
            <v>3</v>
          </cell>
          <cell r="F193">
            <v>2</v>
          </cell>
          <cell r="G193" t="str">
            <v>Atlético San Luis</v>
          </cell>
          <cell r="H193" t="str">
            <v>NULL</v>
          </cell>
          <cell r="I193" t="str">
            <v>NULL</v>
          </cell>
          <cell r="J193" t="str">
            <v>NULL</v>
          </cell>
          <cell r="K193" t="str">
            <v>NULL</v>
          </cell>
          <cell r="L193" t="str">
            <v>NULL</v>
          </cell>
          <cell r="M193">
            <v>0.27777777777777779</v>
          </cell>
          <cell r="N193">
            <v>0.33333333333333331</v>
          </cell>
          <cell r="O193">
            <v>0.3888888888888889</v>
          </cell>
          <cell r="P193">
            <v>55</v>
          </cell>
          <cell r="Q193">
            <v>35.85</v>
          </cell>
          <cell r="R193">
            <v>3.59</v>
          </cell>
          <cell r="S193">
            <v>10.77</v>
          </cell>
          <cell r="T193">
            <v>10.77</v>
          </cell>
          <cell r="U193">
            <v>10.77</v>
          </cell>
          <cell r="V193">
            <v>0.21052631578947367</v>
          </cell>
          <cell r="W193">
            <v>0.15789473684210525</v>
          </cell>
          <cell r="X193">
            <v>0.63157894736842102</v>
          </cell>
          <cell r="Y193">
            <v>59</v>
          </cell>
        </row>
        <row r="194">
          <cell r="A194" t="str">
            <v>2023-Monterrey</v>
          </cell>
          <cell r="B194" t="str">
            <v>2023-Juarez</v>
          </cell>
          <cell r="C194">
            <v>2023</v>
          </cell>
          <cell r="D194" t="str">
            <v>Monterrey</v>
          </cell>
          <cell r="E194">
            <v>3</v>
          </cell>
          <cell r="F194">
            <v>1</v>
          </cell>
          <cell r="G194" t="str">
            <v>Juarez</v>
          </cell>
          <cell r="H194">
            <v>88.1</v>
          </cell>
          <cell r="I194">
            <v>8.81</v>
          </cell>
          <cell r="J194">
            <v>26.43</v>
          </cell>
          <cell r="K194">
            <v>26.43</v>
          </cell>
          <cell r="L194">
            <v>26.43</v>
          </cell>
          <cell r="M194">
            <v>0.60869565217391308</v>
          </cell>
          <cell r="N194">
            <v>0.17391304347826086</v>
          </cell>
          <cell r="O194">
            <v>0.21739130434782608</v>
          </cell>
          <cell r="P194">
            <v>118</v>
          </cell>
          <cell r="Q194" t="str">
            <v>NULL</v>
          </cell>
          <cell r="R194" t="str">
            <v>NULL</v>
          </cell>
          <cell r="S194" t="str">
            <v>NULL</v>
          </cell>
          <cell r="T194" t="str">
            <v>NULL</v>
          </cell>
          <cell r="U194" t="str">
            <v>NULL</v>
          </cell>
          <cell r="V194">
            <v>0.35294117647058826</v>
          </cell>
          <cell r="W194">
            <v>0.17647058823529413</v>
          </cell>
          <cell r="X194">
            <v>0.47058823529411764</v>
          </cell>
          <cell r="Y194">
            <v>55</v>
          </cell>
        </row>
        <row r="195">
          <cell r="A195" t="str">
            <v>2023-Juarez</v>
          </cell>
          <cell r="B195" t="str">
            <v>2023-Atlas</v>
          </cell>
          <cell r="C195">
            <v>2023</v>
          </cell>
          <cell r="D195" t="str">
            <v>Juarez</v>
          </cell>
          <cell r="E195">
            <v>1</v>
          </cell>
          <cell r="F195">
            <v>2</v>
          </cell>
          <cell r="G195" t="str">
            <v>Atlas</v>
          </cell>
          <cell r="H195" t="str">
            <v>NULL</v>
          </cell>
          <cell r="I195" t="str">
            <v>NULL</v>
          </cell>
          <cell r="J195" t="str">
            <v>NULL</v>
          </cell>
          <cell r="K195" t="str">
            <v>NULL</v>
          </cell>
          <cell r="L195" t="str">
            <v>NULL</v>
          </cell>
          <cell r="M195">
            <v>0.27777777777777779</v>
          </cell>
          <cell r="N195">
            <v>0.33333333333333331</v>
          </cell>
          <cell r="O195">
            <v>0.3888888888888889</v>
          </cell>
          <cell r="P195">
            <v>55</v>
          </cell>
          <cell r="Q195">
            <v>30.7</v>
          </cell>
          <cell r="R195">
            <v>3.07</v>
          </cell>
          <cell r="S195">
            <v>9.2100000000000009</v>
          </cell>
          <cell r="T195">
            <v>9.2100000000000009</v>
          </cell>
          <cell r="U195">
            <v>9.2100000000000009</v>
          </cell>
          <cell r="V195">
            <v>0.26315789473684209</v>
          </cell>
          <cell r="W195">
            <v>0.31578947368421051</v>
          </cell>
          <cell r="X195">
            <v>0.42105263157894735</v>
          </cell>
          <cell r="Y195">
            <v>60</v>
          </cell>
        </row>
        <row r="196">
          <cell r="A196" t="str">
            <v>2023-Necaxa</v>
          </cell>
          <cell r="B196" t="str">
            <v>2023-Juarez</v>
          </cell>
          <cell r="C196">
            <v>2023</v>
          </cell>
          <cell r="D196" t="str">
            <v>Necaxa</v>
          </cell>
          <cell r="E196">
            <v>1</v>
          </cell>
          <cell r="F196">
            <v>1</v>
          </cell>
          <cell r="G196" t="str">
            <v>Juarez</v>
          </cell>
          <cell r="H196">
            <v>40</v>
          </cell>
          <cell r="I196">
            <v>4</v>
          </cell>
          <cell r="J196">
            <v>12</v>
          </cell>
          <cell r="K196">
            <v>12</v>
          </cell>
          <cell r="L196">
            <v>12</v>
          </cell>
          <cell r="M196">
            <v>0.44444444444444442</v>
          </cell>
          <cell r="N196">
            <v>0.22222222222222221</v>
          </cell>
          <cell r="O196">
            <v>0.33333333333333331</v>
          </cell>
          <cell r="P196">
            <v>77</v>
          </cell>
          <cell r="Q196" t="str">
            <v>NULL</v>
          </cell>
          <cell r="R196" t="str">
            <v>NULL</v>
          </cell>
          <cell r="S196" t="str">
            <v>NULL</v>
          </cell>
          <cell r="T196" t="str">
            <v>NULL</v>
          </cell>
          <cell r="U196" t="str">
            <v>NULL</v>
          </cell>
          <cell r="V196">
            <v>0.35294117647058826</v>
          </cell>
          <cell r="W196">
            <v>0.17647058823529413</v>
          </cell>
          <cell r="X196">
            <v>0.47058823529411764</v>
          </cell>
          <cell r="Y196">
            <v>55</v>
          </cell>
        </row>
        <row r="197">
          <cell r="A197" t="str">
            <v>2023-Juarez</v>
          </cell>
          <cell r="B197" t="str">
            <v>2023-Mazatlán</v>
          </cell>
          <cell r="C197">
            <v>2023</v>
          </cell>
          <cell r="D197" t="str">
            <v>Juarez</v>
          </cell>
          <cell r="E197">
            <v>3</v>
          </cell>
          <cell r="F197">
            <v>1</v>
          </cell>
          <cell r="G197" t="str">
            <v>Mazatlán</v>
          </cell>
          <cell r="H197" t="str">
            <v>NULL</v>
          </cell>
          <cell r="I197" t="str">
            <v>NULL</v>
          </cell>
          <cell r="J197" t="str">
            <v>NULL</v>
          </cell>
          <cell r="K197" t="str">
            <v>NULL</v>
          </cell>
          <cell r="L197" t="str">
            <v>NULL</v>
          </cell>
          <cell r="M197">
            <v>0.27777777777777779</v>
          </cell>
          <cell r="N197">
            <v>0.33333333333333331</v>
          </cell>
          <cell r="O197">
            <v>0.3888888888888889</v>
          </cell>
          <cell r="P197">
            <v>55</v>
          </cell>
          <cell r="Q197">
            <v>35.049999999999997</v>
          </cell>
          <cell r="R197">
            <v>3.5</v>
          </cell>
          <cell r="S197">
            <v>10.51</v>
          </cell>
          <cell r="T197">
            <v>10.51</v>
          </cell>
          <cell r="U197">
            <v>10.51</v>
          </cell>
          <cell r="V197">
            <v>5.8823529411764705E-2</v>
          </cell>
          <cell r="W197">
            <v>0.29411764705882354</v>
          </cell>
          <cell r="X197">
            <v>0.6470588235294118</v>
          </cell>
          <cell r="Y197">
            <v>40</v>
          </cell>
        </row>
        <row r="198">
          <cell r="A198" t="str">
            <v>2023-Puebla</v>
          </cell>
          <cell r="B198" t="str">
            <v>2023-Juarez</v>
          </cell>
          <cell r="C198">
            <v>2023</v>
          </cell>
          <cell r="D198" t="str">
            <v>Puebla</v>
          </cell>
          <cell r="E198">
            <v>1</v>
          </cell>
          <cell r="F198">
            <v>0</v>
          </cell>
          <cell r="G198" t="str">
            <v>Juarez</v>
          </cell>
          <cell r="H198">
            <v>26.7</v>
          </cell>
          <cell r="I198">
            <v>2.67</v>
          </cell>
          <cell r="J198">
            <v>8.01</v>
          </cell>
          <cell r="K198">
            <v>8.01</v>
          </cell>
          <cell r="L198">
            <v>8.01</v>
          </cell>
          <cell r="M198">
            <v>0.23529411764705882</v>
          </cell>
          <cell r="N198">
            <v>0.11764705882352941</v>
          </cell>
          <cell r="O198">
            <v>0.6470588235294118</v>
          </cell>
          <cell r="P198">
            <v>34</v>
          </cell>
          <cell r="Q198" t="str">
            <v>NULL</v>
          </cell>
          <cell r="R198" t="str">
            <v>NULL</v>
          </cell>
          <cell r="S198" t="str">
            <v>NULL</v>
          </cell>
          <cell r="T198" t="str">
            <v>NULL</v>
          </cell>
          <cell r="U198" t="str">
            <v>NULL</v>
          </cell>
          <cell r="V198">
            <v>0.35294117647058826</v>
          </cell>
          <cell r="W198">
            <v>0.17647058823529413</v>
          </cell>
          <cell r="X198">
            <v>0.47058823529411764</v>
          </cell>
          <cell r="Y198">
            <v>55</v>
          </cell>
        </row>
        <row r="199">
          <cell r="A199" t="str">
            <v>2023-Juarez</v>
          </cell>
          <cell r="B199" t="str">
            <v>2023-Pumas</v>
          </cell>
          <cell r="C199">
            <v>2023</v>
          </cell>
          <cell r="D199" t="str">
            <v>Juarez</v>
          </cell>
          <cell r="E199">
            <v>4</v>
          </cell>
          <cell r="F199">
            <v>1</v>
          </cell>
          <cell r="G199" t="str">
            <v>Pumas</v>
          </cell>
          <cell r="H199" t="str">
            <v>NULL</v>
          </cell>
          <cell r="I199" t="str">
            <v>NULL</v>
          </cell>
          <cell r="J199" t="str">
            <v>NULL</v>
          </cell>
          <cell r="K199" t="str">
            <v>NULL</v>
          </cell>
          <cell r="L199" t="str">
            <v>NULL</v>
          </cell>
          <cell r="M199">
            <v>0.27777777777777779</v>
          </cell>
          <cell r="N199">
            <v>0.33333333333333331</v>
          </cell>
          <cell r="O199">
            <v>0.3888888888888889</v>
          </cell>
          <cell r="P199">
            <v>55</v>
          </cell>
          <cell r="Q199" t="str">
            <v>NULL</v>
          </cell>
          <cell r="R199" t="str">
            <v>NULL</v>
          </cell>
          <cell r="S199" t="str">
            <v>NULL</v>
          </cell>
          <cell r="T199" t="str">
            <v>NULL</v>
          </cell>
          <cell r="U199" t="str">
            <v>NULL</v>
          </cell>
          <cell r="V199">
            <v>0.3</v>
          </cell>
          <cell r="W199">
            <v>0.25</v>
          </cell>
          <cell r="X199">
            <v>0.45</v>
          </cell>
          <cell r="Y199">
            <v>75</v>
          </cell>
        </row>
        <row r="200">
          <cell r="A200" t="str">
            <v>2023-Juarez</v>
          </cell>
          <cell r="B200" t="str">
            <v>2023-Chivas</v>
          </cell>
          <cell r="C200">
            <v>2023</v>
          </cell>
          <cell r="D200" t="str">
            <v>Juarez</v>
          </cell>
          <cell r="E200">
            <v>1</v>
          </cell>
          <cell r="F200">
            <v>1</v>
          </cell>
          <cell r="G200" t="str">
            <v>Chivas</v>
          </cell>
          <cell r="H200" t="str">
            <v>NULL</v>
          </cell>
          <cell r="I200" t="str">
            <v>NULL</v>
          </cell>
          <cell r="J200" t="str">
            <v>NULL</v>
          </cell>
          <cell r="K200" t="str">
            <v>NULL</v>
          </cell>
          <cell r="L200" t="str">
            <v>NULL</v>
          </cell>
          <cell r="M200">
            <v>0.27777777777777779</v>
          </cell>
          <cell r="N200">
            <v>0.33333333333333331</v>
          </cell>
          <cell r="O200">
            <v>0.3888888888888889</v>
          </cell>
          <cell r="P200">
            <v>55</v>
          </cell>
          <cell r="Q200" t="str">
            <v>NULL</v>
          </cell>
          <cell r="R200" t="str">
            <v>NULL</v>
          </cell>
          <cell r="S200" t="str">
            <v>NULL</v>
          </cell>
          <cell r="T200" t="str">
            <v>NULL</v>
          </cell>
          <cell r="U200" t="str">
            <v>NULL</v>
          </cell>
          <cell r="V200">
            <v>0.23529411764705882</v>
          </cell>
          <cell r="W200">
            <v>0.23529411764705882</v>
          </cell>
          <cell r="X200">
            <v>0.52941176470588236</v>
          </cell>
          <cell r="Y200">
            <v>99</v>
          </cell>
        </row>
        <row r="201">
          <cell r="A201" t="str">
            <v>2023-Juarez</v>
          </cell>
          <cell r="B201" t="str">
            <v>2023-Tigres</v>
          </cell>
          <cell r="C201">
            <v>2023</v>
          </cell>
          <cell r="D201" t="str">
            <v>Juarez</v>
          </cell>
          <cell r="E201">
            <v>1</v>
          </cell>
          <cell r="F201">
            <v>1</v>
          </cell>
          <cell r="G201" t="str">
            <v>Tigres</v>
          </cell>
          <cell r="H201" t="str">
            <v>NULL</v>
          </cell>
          <cell r="I201" t="str">
            <v>NULL</v>
          </cell>
          <cell r="J201" t="str">
            <v>NULL</v>
          </cell>
          <cell r="K201" t="str">
            <v>NULL</v>
          </cell>
          <cell r="L201" t="str">
            <v>NULL</v>
          </cell>
          <cell r="M201">
            <v>0.27777777777777779</v>
          </cell>
          <cell r="N201">
            <v>0.33333333333333331</v>
          </cell>
          <cell r="O201">
            <v>0.3888888888888889</v>
          </cell>
          <cell r="P201">
            <v>55</v>
          </cell>
          <cell r="Q201" t="str">
            <v>NULL</v>
          </cell>
          <cell r="R201" t="str">
            <v>NULL</v>
          </cell>
          <cell r="S201" t="str">
            <v>NULL</v>
          </cell>
          <cell r="T201" t="str">
            <v>NULL</v>
          </cell>
          <cell r="U201" t="str">
            <v>NULL</v>
          </cell>
          <cell r="V201">
            <v>0.3</v>
          </cell>
          <cell r="W201">
            <v>0.3</v>
          </cell>
          <cell r="X201">
            <v>0.4</v>
          </cell>
          <cell r="Y201">
            <v>107</v>
          </cell>
        </row>
        <row r="202">
          <cell r="A202" t="str">
            <v>2023-América</v>
          </cell>
          <cell r="B202" t="str">
            <v>2023-Juarez</v>
          </cell>
          <cell r="C202">
            <v>2023</v>
          </cell>
          <cell r="D202" t="str">
            <v>América</v>
          </cell>
          <cell r="E202">
            <v>1</v>
          </cell>
          <cell r="F202">
            <v>2</v>
          </cell>
          <cell r="G202" t="str">
            <v>Juarez</v>
          </cell>
          <cell r="H202">
            <v>84.2</v>
          </cell>
          <cell r="I202">
            <v>8.42</v>
          </cell>
          <cell r="J202">
            <v>25.26</v>
          </cell>
          <cell r="K202">
            <v>25.26</v>
          </cell>
          <cell r="L202">
            <v>25.26</v>
          </cell>
          <cell r="M202">
            <v>0.65217391304347827</v>
          </cell>
          <cell r="N202">
            <v>0.21739130434782608</v>
          </cell>
          <cell r="O202">
            <v>0.13043478260869565</v>
          </cell>
          <cell r="P202">
            <v>133</v>
          </cell>
          <cell r="Q202" t="str">
            <v>NULL</v>
          </cell>
          <cell r="R202" t="str">
            <v>NULL</v>
          </cell>
          <cell r="S202" t="str">
            <v>NULL</v>
          </cell>
          <cell r="T202" t="str">
            <v>NULL</v>
          </cell>
          <cell r="U202" t="str">
            <v>NULL</v>
          </cell>
          <cell r="V202">
            <v>0.35294117647058826</v>
          </cell>
          <cell r="W202">
            <v>0.17647058823529413</v>
          </cell>
          <cell r="X202">
            <v>0.47058823529411764</v>
          </cell>
          <cell r="Y202">
            <v>55</v>
          </cell>
        </row>
        <row r="203">
          <cell r="A203" t="str">
            <v>2024-Juarez</v>
          </cell>
          <cell r="B203" t="str">
            <v>2024-León</v>
          </cell>
          <cell r="C203">
            <v>2024</v>
          </cell>
          <cell r="D203" t="str">
            <v>Juarez</v>
          </cell>
          <cell r="E203">
            <v>1</v>
          </cell>
          <cell r="F203">
            <v>1</v>
          </cell>
          <cell r="G203" t="str">
            <v>León</v>
          </cell>
          <cell r="H203" t="str">
            <v>NULL</v>
          </cell>
          <cell r="I203" t="str">
            <v>NULL</v>
          </cell>
          <cell r="J203" t="str">
            <v>NULL</v>
          </cell>
          <cell r="K203" t="str">
            <v>NULL</v>
          </cell>
          <cell r="L203" t="str">
            <v>NULL</v>
          </cell>
          <cell r="M203">
            <v>0.27777777777777779</v>
          </cell>
          <cell r="N203">
            <v>0.33333333333333331</v>
          </cell>
          <cell r="O203">
            <v>0.3888888888888889</v>
          </cell>
          <cell r="P203">
            <v>55</v>
          </cell>
          <cell r="Q203">
            <v>29.55</v>
          </cell>
          <cell r="R203">
            <v>2.96</v>
          </cell>
          <cell r="S203">
            <v>8.8699999999999992</v>
          </cell>
          <cell r="T203">
            <v>8.8699999999999992</v>
          </cell>
          <cell r="U203">
            <v>8.8699999999999992</v>
          </cell>
          <cell r="V203">
            <v>0.27777777777777779</v>
          </cell>
          <cell r="W203">
            <v>0.27777777777777779</v>
          </cell>
          <cell r="X203">
            <v>0.44444444444444442</v>
          </cell>
          <cell r="Y203">
            <v>87</v>
          </cell>
        </row>
        <row r="204">
          <cell r="A204" t="str">
            <v>2024-León</v>
          </cell>
          <cell r="B204" t="str">
            <v>2024-Monterrey</v>
          </cell>
          <cell r="C204">
            <v>2024</v>
          </cell>
          <cell r="D204" t="str">
            <v>León</v>
          </cell>
          <cell r="E204">
            <v>2</v>
          </cell>
          <cell r="F204">
            <v>0</v>
          </cell>
          <cell r="G204" t="str">
            <v>Monterrey</v>
          </cell>
          <cell r="H204">
            <v>29.55</v>
          </cell>
          <cell r="I204">
            <v>2.96</v>
          </cell>
          <cell r="J204">
            <v>8.8699999999999992</v>
          </cell>
          <cell r="K204">
            <v>8.8699999999999992</v>
          </cell>
          <cell r="L204">
            <v>8.8699999999999992</v>
          </cell>
          <cell r="M204">
            <v>0.3888888888888889</v>
          </cell>
          <cell r="N204">
            <v>0.3888888888888889</v>
          </cell>
          <cell r="O204">
            <v>0.22222222222222221</v>
          </cell>
          <cell r="P204">
            <v>87</v>
          </cell>
          <cell r="Q204">
            <v>88.6</v>
          </cell>
          <cell r="R204">
            <v>8.86</v>
          </cell>
          <cell r="S204">
            <v>26.58</v>
          </cell>
          <cell r="T204">
            <v>26.58</v>
          </cell>
          <cell r="U204">
            <v>26.58</v>
          </cell>
          <cell r="V204">
            <v>0.38095238095238093</v>
          </cell>
          <cell r="W204">
            <v>0.23809523809523808</v>
          </cell>
          <cell r="X204">
            <v>0.38095238095238093</v>
          </cell>
          <cell r="Y204">
            <v>118</v>
          </cell>
        </row>
        <row r="205">
          <cell r="A205" t="str">
            <v>2024-Pumas</v>
          </cell>
          <cell r="B205" t="str">
            <v>2024-León</v>
          </cell>
          <cell r="C205">
            <v>2024</v>
          </cell>
          <cell r="D205" t="str">
            <v>Pumas</v>
          </cell>
          <cell r="E205">
            <v>1</v>
          </cell>
          <cell r="F205">
            <v>0</v>
          </cell>
          <cell r="G205" t="str">
            <v>León</v>
          </cell>
          <cell r="H205">
            <v>47.6</v>
          </cell>
          <cell r="I205">
            <v>4.76</v>
          </cell>
          <cell r="J205">
            <v>14.28</v>
          </cell>
          <cell r="K205">
            <v>14.28</v>
          </cell>
          <cell r="L205">
            <v>14.28</v>
          </cell>
          <cell r="M205">
            <v>0.5</v>
          </cell>
          <cell r="N205">
            <v>0.16666666666666666</v>
          </cell>
          <cell r="O205">
            <v>0.33333333333333331</v>
          </cell>
          <cell r="P205">
            <v>75</v>
          </cell>
          <cell r="Q205">
            <v>29.55</v>
          </cell>
          <cell r="R205">
            <v>2.96</v>
          </cell>
          <cell r="S205">
            <v>8.8699999999999992</v>
          </cell>
          <cell r="T205">
            <v>8.8699999999999992</v>
          </cell>
          <cell r="U205">
            <v>8.8699999999999992</v>
          </cell>
          <cell r="V205">
            <v>0.27777777777777779</v>
          </cell>
          <cell r="W205">
            <v>0.27777777777777779</v>
          </cell>
          <cell r="X205">
            <v>0.44444444444444442</v>
          </cell>
          <cell r="Y205">
            <v>87</v>
          </cell>
        </row>
        <row r="206">
          <cell r="A206" t="str">
            <v>2024-León</v>
          </cell>
          <cell r="B206" t="str">
            <v>2024-Querétaro</v>
          </cell>
          <cell r="C206">
            <v>2024</v>
          </cell>
          <cell r="D206" t="str">
            <v>León</v>
          </cell>
          <cell r="E206">
            <v>0</v>
          </cell>
          <cell r="F206">
            <v>2</v>
          </cell>
          <cell r="G206" t="str">
            <v>Querétaro</v>
          </cell>
          <cell r="H206">
            <v>29.55</v>
          </cell>
          <cell r="I206">
            <v>2.96</v>
          </cell>
          <cell r="J206">
            <v>8.8699999999999992</v>
          </cell>
          <cell r="K206">
            <v>8.8699999999999992</v>
          </cell>
          <cell r="L206">
            <v>8.8699999999999992</v>
          </cell>
          <cell r="M206">
            <v>0.3888888888888889</v>
          </cell>
          <cell r="N206">
            <v>0.3888888888888889</v>
          </cell>
          <cell r="O206">
            <v>0.22222222222222221</v>
          </cell>
          <cell r="P206">
            <v>87</v>
          </cell>
          <cell r="Q206" t="str">
            <v>NULL</v>
          </cell>
          <cell r="R206" t="str">
            <v>NULL</v>
          </cell>
          <cell r="S206" t="str">
            <v>NULL</v>
          </cell>
          <cell r="T206" t="str">
            <v>NULL</v>
          </cell>
          <cell r="U206" t="str">
            <v>NULL</v>
          </cell>
          <cell r="V206">
            <v>0.17647058823529413</v>
          </cell>
          <cell r="W206">
            <v>0.17647058823529413</v>
          </cell>
          <cell r="X206">
            <v>0.6470588235294118</v>
          </cell>
          <cell r="Y206">
            <v>64</v>
          </cell>
        </row>
        <row r="207">
          <cell r="A207" t="str">
            <v>2024-Necaxa</v>
          </cell>
          <cell r="B207" t="str">
            <v>2024-León</v>
          </cell>
          <cell r="C207">
            <v>2024</v>
          </cell>
          <cell r="D207" t="str">
            <v>Necaxa</v>
          </cell>
          <cell r="E207">
            <v>1</v>
          </cell>
          <cell r="F207">
            <v>2</v>
          </cell>
          <cell r="G207" t="str">
            <v>León</v>
          </cell>
          <cell r="H207">
            <v>38.5</v>
          </cell>
          <cell r="I207">
            <v>3.85</v>
          </cell>
          <cell r="J207">
            <v>11.55</v>
          </cell>
          <cell r="K207">
            <v>11.55</v>
          </cell>
          <cell r="L207">
            <v>11.55</v>
          </cell>
          <cell r="M207">
            <v>0.44444444444444442</v>
          </cell>
          <cell r="N207">
            <v>0.22222222222222221</v>
          </cell>
          <cell r="O207">
            <v>0.33333333333333331</v>
          </cell>
          <cell r="P207">
            <v>77</v>
          </cell>
          <cell r="Q207">
            <v>29.55</v>
          </cell>
          <cell r="R207">
            <v>2.96</v>
          </cell>
          <cell r="S207">
            <v>8.8699999999999992</v>
          </cell>
          <cell r="T207">
            <v>8.8699999999999992</v>
          </cell>
          <cell r="U207">
            <v>8.8699999999999992</v>
          </cell>
          <cell r="V207">
            <v>0.27777777777777779</v>
          </cell>
          <cell r="W207">
            <v>0.27777777777777779</v>
          </cell>
          <cell r="X207">
            <v>0.44444444444444442</v>
          </cell>
          <cell r="Y207">
            <v>87</v>
          </cell>
        </row>
        <row r="208">
          <cell r="A208" t="str">
            <v>2024-León</v>
          </cell>
          <cell r="B208" t="str">
            <v>2024-Puebla</v>
          </cell>
          <cell r="C208">
            <v>2024</v>
          </cell>
          <cell r="D208" t="str">
            <v>León</v>
          </cell>
          <cell r="E208">
            <v>2</v>
          </cell>
          <cell r="F208">
            <v>1</v>
          </cell>
          <cell r="G208" t="str">
            <v>Puebla</v>
          </cell>
          <cell r="H208">
            <v>29.55</v>
          </cell>
          <cell r="I208">
            <v>2.96</v>
          </cell>
          <cell r="J208">
            <v>8.8699999999999992</v>
          </cell>
          <cell r="K208">
            <v>8.8699999999999992</v>
          </cell>
          <cell r="L208">
            <v>8.8699999999999992</v>
          </cell>
          <cell r="M208">
            <v>0.3888888888888889</v>
          </cell>
          <cell r="N208">
            <v>0.3888888888888889</v>
          </cell>
          <cell r="O208">
            <v>0.22222222222222221</v>
          </cell>
          <cell r="P208">
            <v>87</v>
          </cell>
          <cell r="Q208">
            <v>24.1</v>
          </cell>
          <cell r="R208">
            <v>2.41</v>
          </cell>
          <cell r="S208">
            <v>7.23</v>
          </cell>
          <cell r="T208">
            <v>7.23</v>
          </cell>
          <cell r="U208">
            <v>7.23</v>
          </cell>
          <cell r="V208">
            <v>0.11764705882352941</v>
          </cell>
          <cell r="W208">
            <v>0.17647058823529413</v>
          </cell>
          <cell r="X208">
            <v>0.70588235294117652</v>
          </cell>
          <cell r="Y208">
            <v>34</v>
          </cell>
        </row>
        <row r="209">
          <cell r="A209" t="str">
            <v>2024-Chivas</v>
          </cell>
          <cell r="B209" t="str">
            <v>2024-León</v>
          </cell>
          <cell r="C209">
            <v>2024</v>
          </cell>
          <cell r="D209" t="str">
            <v>Chivas</v>
          </cell>
          <cell r="E209">
            <v>1</v>
          </cell>
          <cell r="F209">
            <v>2</v>
          </cell>
          <cell r="G209" t="str">
            <v>León</v>
          </cell>
          <cell r="H209">
            <v>70.2</v>
          </cell>
          <cell r="I209">
            <v>7.02</v>
          </cell>
          <cell r="J209">
            <v>21.06</v>
          </cell>
          <cell r="K209">
            <v>21.06</v>
          </cell>
          <cell r="L209">
            <v>21.06</v>
          </cell>
          <cell r="M209">
            <v>0.44444444444444442</v>
          </cell>
          <cell r="N209">
            <v>0.33333333333333331</v>
          </cell>
          <cell r="O209">
            <v>0.22222222222222221</v>
          </cell>
          <cell r="P209">
            <v>99</v>
          </cell>
          <cell r="Q209">
            <v>29.55</v>
          </cell>
          <cell r="R209">
            <v>2.96</v>
          </cell>
          <cell r="S209">
            <v>8.8699999999999992</v>
          </cell>
          <cell r="T209">
            <v>8.8699999999999992</v>
          </cell>
          <cell r="U209">
            <v>8.8699999999999992</v>
          </cell>
          <cell r="V209">
            <v>0.27777777777777779</v>
          </cell>
          <cell r="W209">
            <v>0.27777777777777779</v>
          </cell>
          <cell r="X209">
            <v>0.44444444444444442</v>
          </cell>
          <cell r="Y209">
            <v>87</v>
          </cell>
        </row>
        <row r="210">
          <cell r="A210" t="str">
            <v>2024-Xolos</v>
          </cell>
          <cell r="B210" t="str">
            <v>2024-León</v>
          </cell>
          <cell r="C210">
            <v>2024</v>
          </cell>
          <cell r="D210" t="str">
            <v>Xolos</v>
          </cell>
          <cell r="E210">
            <v>1</v>
          </cell>
          <cell r="F210">
            <v>1</v>
          </cell>
          <cell r="G210" t="str">
            <v>León</v>
          </cell>
          <cell r="H210" t="str">
            <v>NULL</v>
          </cell>
          <cell r="I210" t="str">
            <v>NULL</v>
          </cell>
          <cell r="J210" t="str">
            <v>NULL</v>
          </cell>
          <cell r="K210" t="str">
            <v>NULL</v>
          </cell>
          <cell r="L210" t="str">
            <v>NULL</v>
          </cell>
          <cell r="M210">
            <v>0.55000000000000004</v>
          </cell>
          <cell r="N210">
            <v>0.15</v>
          </cell>
          <cell r="O210">
            <v>0.3</v>
          </cell>
          <cell r="P210">
            <v>49</v>
          </cell>
          <cell r="Q210">
            <v>29.55</v>
          </cell>
          <cell r="R210">
            <v>2.96</v>
          </cell>
          <cell r="S210">
            <v>8.8699999999999992</v>
          </cell>
          <cell r="T210">
            <v>8.8699999999999992</v>
          </cell>
          <cell r="U210">
            <v>8.8699999999999992</v>
          </cell>
          <cell r="V210">
            <v>0.27777777777777779</v>
          </cell>
          <cell r="W210">
            <v>0.27777777777777779</v>
          </cell>
          <cell r="X210">
            <v>0.44444444444444442</v>
          </cell>
          <cell r="Y210">
            <v>87</v>
          </cell>
        </row>
        <row r="211">
          <cell r="A211" t="str">
            <v>2024-León</v>
          </cell>
          <cell r="B211" t="str">
            <v>2024-Cruz Azul</v>
          </cell>
          <cell r="C211">
            <v>2024</v>
          </cell>
          <cell r="D211" t="str">
            <v>León</v>
          </cell>
          <cell r="E211">
            <v>2</v>
          </cell>
          <cell r="F211">
            <v>3</v>
          </cell>
          <cell r="G211" t="str">
            <v>Cruz Azul</v>
          </cell>
          <cell r="H211">
            <v>29.55</v>
          </cell>
          <cell r="I211">
            <v>2.96</v>
          </cell>
          <cell r="J211">
            <v>8.8699999999999992</v>
          </cell>
          <cell r="K211">
            <v>8.8699999999999992</v>
          </cell>
          <cell r="L211">
            <v>8.8699999999999992</v>
          </cell>
          <cell r="M211">
            <v>0.3888888888888889</v>
          </cell>
          <cell r="N211">
            <v>0.3888888888888889</v>
          </cell>
          <cell r="O211">
            <v>0.22222222222222221</v>
          </cell>
          <cell r="P211">
            <v>87</v>
          </cell>
          <cell r="Q211">
            <v>78.849999999999994</v>
          </cell>
          <cell r="R211">
            <v>7.89</v>
          </cell>
          <cell r="S211">
            <v>23.66</v>
          </cell>
          <cell r="T211">
            <v>23.66</v>
          </cell>
          <cell r="U211">
            <v>23.66</v>
          </cell>
          <cell r="V211">
            <v>0.52380952380952384</v>
          </cell>
          <cell r="W211">
            <v>0.23809523809523808</v>
          </cell>
          <cell r="X211">
            <v>0.23809523809523808</v>
          </cell>
          <cell r="Y211">
            <v>107</v>
          </cell>
        </row>
        <row r="212">
          <cell r="A212" t="str">
            <v>2024-Atlas</v>
          </cell>
          <cell r="B212" t="str">
            <v>2024-León</v>
          </cell>
          <cell r="C212">
            <v>2024</v>
          </cell>
          <cell r="D212" t="str">
            <v>Atlas</v>
          </cell>
          <cell r="E212">
            <v>0</v>
          </cell>
          <cell r="F212">
            <v>1</v>
          </cell>
          <cell r="G212" t="str">
            <v>León</v>
          </cell>
          <cell r="H212">
            <v>28.95</v>
          </cell>
          <cell r="I212">
            <v>2.9</v>
          </cell>
          <cell r="J212">
            <v>8.68</v>
          </cell>
          <cell r="K212">
            <v>8.68</v>
          </cell>
          <cell r="L212">
            <v>8.68</v>
          </cell>
          <cell r="M212" t="str">
            <v>NULL</v>
          </cell>
          <cell r="N212" t="str">
            <v>NULL</v>
          </cell>
          <cell r="O212" t="str">
            <v>NULL</v>
          </cell>
          <cell r="P212">
            <v>60</v>
          </cell>
          <cell r="Q212">
            <v>29.55</v>
          </cell>
          <cell r="R212">
            <v>2.96</v>
          </cell>
          <cell r="S212">
            <v>8.8699999999999992</v>
          </cell>
          <cell r="T212">
            <v>8.8699999999999992</v>
          </cell>
          <cell r="U212">
            <v>8.8699999999999992</v>
          </cell>
          <cell r="V212">
            <v>0.27777777777777779</v>
          </cell>
          <cell r="W212">
            <v>0.27777777777777779</v>
          </cell>
          <cell r="X212">
            <v>0.44444444444444442</v>
          </cell>
          <cell r="Y212">
            <v>87</v>
          </cell>
        </row>
        <row r="213">
          <cell r="A213" t="str">
            <v>2024-León</v>
          </cell>
          <cell r="B213" t="str">
            <v>2024-América</v>
          </cell>
          <cell r="C213">
            <v>2024</v>
          </cell>
          <cell r="D213" t="str">
            <v>León</v>
          </cell>
          <cell r="E213">
            <v>0</v>
          </cell>
          <cell r="F213">
            <v>1</v>
          </cell>
          <cell r="G213" t="str">
            <v>América</v>
          </cell>
          <cell r="H213">
            <v>29.55</v>
          </cell>
          <cell r="I213">
            <v>2.96</v>
          </cell>
          <cell r="J213">
            <v>8.8699999999999992</v>
          </cell>
          <cell r="K213">
            <v>8.8699999999999992</v>
          </cell>
          <cell r="L213">
            <v>8.8699999999999992</v>
          </cell>
          <cell r="M213">
            <v>0.3888888888888889</v>
          </cell>
          <cell r="N213">
            <v>0.3888888888888889</v>
          </cell>
          <cell r="O213">
            <v>0.22222222222222221</v>
          </cell>
          <cell r="P213">
            <v>87</v>
          </cell>
          <cell r="Q213">
            <v>92.45</v>
          </cell>
          <cell r="R213">
            <v>9.25</v>
          </cell>
          <cell r="S213">
            <v>27.73</v>
          </cell>
          <cell r="T213">
            <v>27.73</v>
          </cell>
          <cell r="U213">
            <v>27.73</v>
          </cell>
          <cell r="V213">
            <v>0.375</v>
          </cell>
          <cell r="W213">
            <v>0.29166666666666669</v>
          </cell>
          <cell r="X213">
            <v>0.33333333333333331</v>
          </cell>
          <cell r="Y213">
            <v>133</v>
          </cell>
        </row>
        <row r="214">
          <cell r="A214" t="str">
            <v>2024-Pachuca</v>
          </cell>
          <cell r="B214" t="str">
            <v>2024-León</v>
          </cell>
          <cell r="C214">
            <v>2024</v>
          </cell>
          <cell r="D214" t="str">
            <v>Pachuca</v>
          </cell>
          <cell r="E214">
            <v>3</v>
          </cell>
          <cell r="F214">
            <v>2</v>
          </cell>
          <cell r="G214" t="str">
            <v>León</v>
          </cell>
          <cell r="H214">
            <v>56.6</v>
          </cell>
          <cell r="I214">
            <v>5.66</v>
          </cell>
          <cell r="J214">
            <v>16.98</v>
          </cell>
          <cell r="K214">
            <v>16.98</v>
          </cell>
          <cell r="L214">
            <v>16.98</v>
          </cell>
          <cell r="M214">
            <v>0.3888888888888889</v>
          </cell>
          <cell r="N214">
            <v>0.33333333333333331</v>
          </cell>
          <cell r="O214">
            <v>0.27777777777777779</v>
          </cell>
          <cell r="P214">
            <v>98</v>
          </cell>
          <cell r="Q214">
            <v>29.55</v>
          </cell>
          <cell r="R214">
            <v>2.96</v>
          </cell>
          <cell r="S214">
            <v>8.8699999999999992</v>
          </cell>
          <cell r="T214">
            <v>8.8699999999999992</v>
          </cell>
          <cell r="U214">
            <v>8.8699999999999992</v>
          </cell>
          <cell r="V214">
            <v>0.27777777777777779</v>
          </cell>
          <cell r="W214">
            <v>0.27777777777777779</v>
          </cell>
          <cell r="X214">
            <v>0.44444444444444442</v>
          </cell>
          <cell r="Y214">
            <v>87</v>
          </cell>
        </row>
        <row r="215">
          <cell r="A215" t="str">
            <v>2024-Toluca</v>
          </cell>
          <cell r="B215" t="str">
            <v>2024-León</v>
          </cell>
          <cell r="C215">
            <v>2024</v>
          </cell>
          <cell r="D215" t="str">
            <v>Toluca</v>
          </cell>
          <cell r="E215">
            <v>4</v>
          </cell>
          <cell r="F215">
            <v>1</v>
          </cell>
          <cell r="G215" t="str">
            <v>León</v>
          </cell>
          <cell r="H215">
            <v>77.45</v>
          </cell>
          <cell r="I215">
            <v>7.75</v>
          </cell>
          <cell r="J215">
            <v>23.24</v>
          </cell>
          <cell r="K215">
            <v>23.24</v>
          </cell>
          <cell r="L215">
            <v>23.24</v>
          </cell>
          <cell r="M215">
            <v>0.76190476190476186</v>
          </cell>
          <cell r="N215">
            <v>0.19047619047619047</v>
          </cell>
          <cell r="O215">
            <v>4.7619047619047616E-2</v>
          </cell>
          <cell r="P215">
            <v>118</v>
          </cell>
          <cell r="Q215">
            <v>29.55</v>
          </cell>
          <cell r="R215">
            <v>2.96</v>
          </cell>
          <cell r="S215">
            <v>8.8699999999999992</v>
          </cell>
          <cell r="T215">
            <v>8.8699999999999992</v>
          </cell>
          <cell r="U215">
            <v>8.8699999999999992</v>
          </cell>
          <cell r="V215">
            <v>0.27777777777777779</v>
          </cell>
          <cell r="W215">
            <v>0.27777777777777779</v>
          </cell>
          <cell r="X215">
            <v>0.44444444444444442</v>
          </cell>
          <cell r="Y215">
            <v>87</v>
          </cell>
        </row>
        <row r="216">
          <cell r="A216" t="str">
            <v>2024-Mazatlán</v>
          </cell>
          <cell r="B216" t="str">
            <v>2024-León</v>
          </cell>
          <cell r="C216">
            <v>2024</v>
          </cell>
          <cell r="D216" t="str">
            <v>Mazatlán</v>
          </cell>
          <cell r="E216">
            <v>2</v>
          </cell>
          <cell r="F216">
            <v>2</v>
          </cell>
          <cell r="G216" t="str">
            <v>León</v>
          </cell>
          <cell r="H216">
            <v>31.45</v>
          </cell>
          <cell r="I216">
            <v>3.15</v>
          </cell>
          <cell r="J216">
            <v>9.44</v>
          </cell>
          <cell r="K216">
            <v>9.44</v>
          </cell>
          <cell r="L216">
            <v>9.44</v>
          </cell>
          <cell r="M216">
            <v>0.29411764705882354</v>
          </cell>
          <cell r="N216">
            <v>0.47058823529411764</v>
          </cell>
          <cell r="O216">
            <v>0.23529411764705882</v>
          </cell>
          <cell r="P216">
            <v>40</v>
          </cell>
          <cell r="Q216">
            <v>29.55</v>
          </cell>
          <cell r="R216">
            <v>2.96</v>
          </cell>
          <cell r="S216">
            <v>8.8699999999999992</v>
          </cell>
          <cell r="T216">
            <v>8.8699999999999992</v>
          </cell>
          <cell r="U216">
            <v>8.8699999999999992</v>
          </cell>
          <cell r="V216">
            <v>0.27777777777777779</v>
          </cell>
          <cell r="W216">
            <v>0.27777777777777779</v>
          </cell>
          <cell r="X216">
            <v>0.44444444444444442</v>
          </cell>
          <cell r="Y216">
            <v>87</v>
          </cell>
        </row>
        <row r="217">
          <cell r="A217" t="str">
            <v>2024-León</v>
          </cell>
          <cell r="B217" t="str">
            <v>2024-Santos Laguna</v>
          </cell>
          <cell r="C217">
            <v>2024</v>
          </cell>
          <cell r="D217" t="str">
            <v>León</v>
          </cell>
          <cell r="E217">
            <v>3</v>
          </cell>
          <cell r="F217">
            <v>2</v>
          </cell>
          <cell r="G217" t="str">
            <v>Santos Laguna</v>
          </cell>
          <cell r="H217">
            <v>29.55</v>
          </cell>
          <cell r="I217">
            <v>2.96</v>
          </cell>
          <cell r="J217">
            <v>8.8699999999999992</v>
          </cell>
          <cell r="K217">
            <v>8.8699999999999992</v>
          </cell>
          <cell r="L217">
            <v>8.8699999999999992</v>
          </cell>
          <cell r="M217">
            <v>0.3888888888888889</v>
          </cell>
          <cell r="N217">
            <v>0.3888888888888889</v>
          </cell>
          <cell r="O217">
            <v>0.22222222222222221</v>
          </cell>
          <cell r="P217">
            <v>87</v>
          </cell>
          <cell r="Q217" t="str">
            <v>NULL</v>
          </cell>
          <cell r="R217" t="str">
            <v>NULL</v>
          </cell>
          <cell r="S217" t="str">
            <v>NULL</v>
          </cell>
          <cell r="T217" t="str">
            <v>NULL</v>
          </cell>
          <cell r="U217" t="str">
            <v>NULL</v>
          </cell>
          <cell r="V217">
            <v>0</v>
          </cell>
          <cell r="W217">
            <v>0.11764705882352941</v>
          </cell>
          <cell r="X217">
            <v>0.88235294117647056</v>
          </cell>
          <cell r="Y217">
            <v>46</v>
          </cell>
        </row>
        <row r="218">
          <cell r="A218" t="str">
            <v>2024-León</v>
          </cell>
          <cell r="B218" t="str">
            <v>2024-Tigres</v>
          </cell>
          <cell r="C218">
            <v>2024</v>
          </cell>
          <cell r="D218" t="str">
            <v>León</v>
          </cell>
          <cell r="E218">
            <v>1</v>
          </cell>
          <cell r="F218">
            <v>2</v>
          </cell>
          <cell r="G218" t="str">
            <v>Tigres</v>
          </cell>
          <cell r="H218">
            <v>29.55</v>
          </cell>
          <cell r="I218">
            <v>2.96</v>
          </cell>
          <cell r="J218">
            <v>8.8699999999999992</v>
          </cell>
          <cell r="K218">
            <v>8.8699999999999992</v>
          </cell>
          <cell r="L218">
            <v>8.8699999999999992</v>
          </cell>
          <cell r="M218">
            <v>0.3888888888888889</v>
          </cell>
          <cell r="N218">
            <v>0.3888888888888889</v>
          </cell>
          <cell r="O218">
            <v>0.22222222222222221</v>
          </cell>
          <cell r="P218">
            <v>87</v>
          </cell>
          <cell r="Q218" t="str">
            <v>NULL</v>
          </cell>
          <cell r="R218" t="str">
            <v>NULL</v>
          </cell>
          <cell r="S218" t="str">
            <v>NULL</v>
          </cell>
          <cell r="T218" t="str">
            <v>NULL</v>
          </cell>
          <cell r="U218" t="str">
            <v>NULL</v>
          </cell>
          <cell r="V218">
            <v>0.3</v>
          </cell>
          <cell r="W218">
            <v>0.3</v>
          </cell>
          <cell r="X218">
            <v>0.4</v>
          </cell>
          <cell r="Y218">
            <v>107</v>
          </cell>
        </row>
        <row r="219">
          <cell r="A219" t="str">
            <v>2023-América</v>
          </cell>
          <cell r="B219" t="str">
            <v>2023-León</v>
          </cell>
          <cell r="C219">
            <v>2023</v>
          </cell>
          <cell r="D219" t="str">
            <v>América</v>
          </cell>
          <cell r="E219">
            <v>2</v>
          </cell>
          <cell r="F219">
            <v>0</v>
          </cell>
          <cell r="G219" t="str">
            <v>León</v>
          </cell>
          <cell r="H219">
            <v>84.2</v>
          </cell>
          <cell r="I219">
            <v>8.42</v>
          </cell>
          <cell r="J219">
            <v>25.26</v>
          </cell>
          <cell r="K219">
            <v>25.26</v>
          </cell>
          <cell r="L219">
            <v>25.26</v>
          </cell>
          <cell r="M219">
            <v>0.65217391304347827</v>
          </cell>
          <cell r="N219">
            <v>0.21739130434782608</v>
          </cell>
          <cell r="O219">
            <v>0.13043478260869565</v>
          </cell>
          <cell r="P219">
            <v>133</v>
          </cell>
          <cell r="Q219">
            <v>41.5</v>
          </cell>
          <cell r="R219">
            <v>4.1500000000000004</v>
          </cell>
          <cell r="S219">
            <v>12.45</v>
          </cell>
          <cell r="T219">
            <v>12.45</v>
          </cell>
          <cell r="U219">
            <v>12.45</v>
          </cell>
          <cell r="V219">
            <v>0.27777777777777779</v>
          </cell>
          <cell r="W219">
            <v>0.27777777777777779</v>
          </cell>
          <cell r="X219">
            <v>0.44444444444444442</v>
          </cell>
          <cell r="Y219">
            <v>87</v>
          </cell>
        </row>
        <row r="220">
          <cell r="A220" t="str">
            <v>2023-León</v>
          </cell>
          <cell r="B220" t="str">
            <v>2023-América</v>
          </cell>
          <cell r="C220">
            <v>2023</v>
          </cell>
          <cell r="D220" t="str">
            <v>León</v>
          </cell>
          <cell r="E220">
            <v>2</v>
          </cell>
          <cell r="F220">
            <v>2</v>
          </cell>
          <cell r="G220" t="str">
            <v>América</v>
          </cell>
          <cell r="H220">
            <v>41.5</v>
          </cell>
          <cell r="I220">
            <v>4.1500000000000004</v>
          </cell>
          <cell r="J220">
            <v>12.45</v>
          </cell>
          <cell r="K220">
            <v>12.45</v>
          </cell>
          <cell r="L220">
            <v>12.45</v>
          </cell>
          <cell r="M220">
            <v>0.3888888888888889</v>
          </cell>
          <cell r="N220">
            <v>0.3888888888888889</v>
          </cell>
          <cell r="O220">
            <v>0.22222222222222221</v>
          </cell>
          <cell r="P220">
            <v>87</v>
          </cell>
          <cell r="Q220">
            <v>84.2</v>
          </cell>
          <cell r="R220">
            <v>8.42</v>
          </cell>
          <cell r="S220">
            <v>25.26</v>
          </cell>
          <cell r="T220">
            <v>25.26</v>
          </cell>
          <cell r="U220">
            <v>25.26</v>
          </cell>
          <cell r="V220">
            <v>0.375</v>
          </cell>
          <cell r="W220">
            <v>0.29166666666666669</v>
          </cell>
          <cell r="X220">
            <v>0.33333333333333331</v>
          </cell>
          <cell r="Y220">
            <v>133</v>
          </cell>
        </row>
        <row r="221">
          <cell r="A221" t="str">
            <v>2023-Atlético San Luis</v>
          </cell>
          <cell r="B221" t="str">
            <v>2023-León</v>
          </cell>
          <cell r="C221">
            <v>2023</v>
          </cell>
          <cell r="D221" t="str">
            <v>Atlético San Luis</v>
          </cell>
          <cell r="E221">
            <v>3</v>
          </cell>
          <cell r="F221">
            <v>2</v>
          </cell>
          <cell r="G221" t="str">
            <v>León</v>
          </cell>
          <cell r="H221">
            <v>35.85</v>
          </cell>
          <cell r="I221">
            <v>3.59</v>
          </cell>
          <cell r="J221">
            <v>10.77</v>
          </cell>
          <cell r="K221">
            <v>10.77</v>
          </cell>
          <cell r="L221">
            <v>10.77</v>
          </cell>
          <cell r="M221">
            <v>0.68421052631578949</v>
          </cell>
          <cell r="N221">
            <v>5.2631578947368418E-2</v>
          </cell>
          <cell r="O221">
            <v>0.26315789473684209</v>
          </cell>
          <cell r="P221">
            <v>59</v>
          </cell>
          <cell r="Q221">
            <v>41.5</v>
          </cell>
          <cell r="R221">
            <v>4.1500000000000004</v>
          </cell>
          <cell r="S221">
            <v>12.45</v>
          </cell>
          <cell r="T221">
            <v>12.45</v>
          </cell>
          <cell r="U221">
            <v>12.45</v>
          </cell>
          <cell r="V221">
            <v>0.27777777777777779</v>
          </cell>
          <cell r="W221">
            <v>0.27777777777777779</v>
          </cell>
          <cell r="X221">
            <v>0.44444444444444442</v>
          </cell>
          <cell r="Y221">
            <v>87</v>
          </cell>
        </row>
        <row r="222">
          <cell r="A222" t="str">
            <v>2023-León</v>
          </cell>
          <cell r="B222" t="str">
            <v>2023-Juarez</v>
          </cell>
          <cell r="C222">
            <v>2023</v>
          </cell>
          <cell r="D222" t="str">
            <v>León</v>
          </cell>
          <cell r="E222">
            <v>2</v>
          </cell>
          <cell r="F222">
            <v>1</v>
          </cell>
          <cell r="G222" t="str">
            <v>Juarez</v>
          </cell>
          <cell r="H222">
            <v>41.5</v>
          </cell>
          <cell r="I222">
            <v>4.1500000000000004</v>
          </cell>
          <cell r="J222">
            <v>12.45</v>
          </cell>
          <cell r="K222">
            <v>12.45</v>
          </cell>
          <cell r="L222">
            <v>12.45</v>
          </cell>
          <cell r="M222">
            <v>0.3888888888888889</v>
          </cell>
          <cell r="N222">
            <v>0.3888888888888889</v>
          </cell>
          <cell r="O222">
            <v>0.22222222222222221</v>
          </cell>
          <cell r="P222">
            <v>87</v>
          </cell>
          <cell r="Q222" t="str">
            <v>NULL</v>
          </cell>
          <cell r="R222" t="str">
            <v>NULL</v>
          </cell>
          <cell r="S222" t="str">
            <v>NULL</v>
          </cell>
          <cell r="T222" t="str">
            <v>NULL</v>
          </cell>
          <cell r="U222" t="str">
            <v>NULL</v>
          </cell>
          <cell r="V222">
            <v>0.35294117647058826</v>
          </cell>
          <cell r="W222">
            <v>0.17647058823529413</v>
          </cell>
          <cell r="X222">
            <v>0.47058823529411764</v>
          </cell>
          <cell r="Y222">
            <v>55</v>
          </cell>
        </row>
        <row r="223">
          <cell r="A223" t="str">
            <v>2023-Puebla</v>
          </cell>
          <cell r="B223" t="str">
            <v>2023-León</v>
          </cell>
          <cell r="C223">
            <v>2023</v>
          </cell>
          <cell r="D223" t="str">
            <v>Puebla</v>
          </cell>
          <cell r="E223">
            <v>5</v>
          </cell>
          <cell r="F223">
            <v>4</v>
          </cell>
          <cell r="G223" t="str">
            <v>León</v>
          </cell>
          <cell r="H223">
            <v>26.7</v>
          </cell>
          <cell r="I223">
            <v>2.67</v>
          </cell>
          <cell r="J223">
            <v>8.01</v>
          </cell>
          <cell r="K223">
            <v>8.01</v>
          </cell>
          <cell r="L223">
            <v>8.01</v>
          </cell>
          <cell r="M223">
            <v>0.23529411764705882</v>
          </cell>
          <cell r="N223">
            <v>0.11764705882352941</v>
          </cell>
          <cell r="O223">
            <v>0.6470588235294118</v>
          </cell>
          <cell r="P223">
            <v>34</v>
          </cell>
          <cell r="Q223">
            <v>41.5</v>
          </cell>
          <cell r="R223">
            <v>4.1500000000000004</v>
          </cell>
          <cell r="S223">
            <v>12.45</v>
          </cell>
          <cell r="T223">
            <v>12.45</v>
          </cell>
          <cell r="U223">
            <v>12.45</v>
          </cell>
          <cell r="V223">
            <v>0.27777777777777779</v>
          </cell>
          <cell r="W223">
            <v>0.27777777777777779</v>
          </cell>
          <cell r="X223">
            <v>0.44444444444444442</v>
          </cell>
          <cell r="Y223">
            <v>87</v>
          </cell>
        </row>
        <row r="224">
          <cell r="A224" t="str">
            <v>2023-León</v>
          </cell>
          <cell r="B224" t="str">
            <v>2023-Pumas</v>
          </cell>
          <cell r="C224">
            <v>2023</v>
          </cell>
          <cell r="D224" t="str">
            <v>León</v>
          </cell>
          <cell r="E224">
            <v>1</v>
          </cell>
          <cell r="F224">
            <v>1</v>
          </cell>
          <cell r="G224" t="str">
            <v>Pumas</v>
          </cell>
          <cell r="H224">
            <v>41.5</v>
          </cell>
          <cell r="I224">
            <v>4.1500000000000004</v>
          </cell>
          <cell r="J224">
            <v>12.45</v>
          </cell>
          <cell r="K224">
            <v>12.45</v>
          </cell>
          <cell r="L224">
            <v>12.45</v>
          </cell>
          <cell r="M224">
            <v>0.3888888888888889</v>
          </cell>
          <cell r="N224">
            <v>0.3888888888888889</v>
          </cell>
          <cell r="O224">
            <v>0.22222222222222221</v>
          </cell>
          <cell r="P224">
            <v>87</v>
          </cell>
          <cell r="Q224" t="str">
            <v>NULL</v>
          </cell>
          <cell r="R224" t="str">
            <v>NULL</v>
          </cell>
          <cell r="S224" t="str">
            <v>NULL</v>
          </cell>
          <cell r="T224" t="str">
            <v>NULL</v>
          </cell>
          <cell r="U224" t="str">
            <v>NULL</v>
          </cell>
          <cell r="V224">
            <v>0.3</v>
          </cell>
          <cell r="W224">
            <v>0.25</v>
          </cell>
          <cell r="X224">
            <v>0.45</v>
          </cell>
          <cell r="Y224">
            <v>75</v>
          </cell>
        </row>
        <row r="225">
          <cell r="A225" t="str">
            <v>2023-Cruz Azul</v>
          </cell>
          <cell r="B225" t="str">
            <v>2023-León</v>
          </cell>
          <cell r="C225">
            <v>2023</v>
          </cell>
          <cell r="D225" t="str">
            <v>Cruz Azul</v>
          </cell>
          <cell r="E225">
            <v>1</v>
          </cell>
          <cell r="F225">
            <v>0</v>
          </cell>
          <cell r="G225" t="str">
            <v>León</v>
          </cell>
          <cell r="H225">
            <v>72.2</v>
          </cell>
          <cell r="I225">
            <v>7.22</v>
          </cell>
          <cell r="J225">
            <v>21.66</v>
          </cell>
          <cell r="K225">
            <v>21.66</v>
          </cell>
          <cell r="L225">
            <v>21.66</v>
          </cell>
          <cell r="M225">
            <v>0.7142857142857143</v>
          </cell>
          <cell r="N225">
            <v>0.23809523809523808</v>
          </cell>
          <cell r="O225">
            <v>4.7619047619047616E-2</v>
          </cell>
          <cell r="P225">
            <v>107</v>
          </cell>
          <cell r="Q225">
            <v>41.5</v>
          </cell>
          <cell r="R225">
            <v>4.1500000000000004</v>
          </cell>
          <cell r="S225">
            <v>12.45</v>
          </cell>
          <cell r="T225">
            <v>12.45</v>
          </cell>
          <cell r="U225">
            <v>12.45</v>
          </cell>
          <cell r="V225">
            <v>0.27777777777777779</v>
          </cell>
          <cell r="W225">
            <v>0.27777777777777779</v>
          </cell>
          <cell r="X225">
            <v>0.44444444444444442</v>
          </cell>
          <cell r="Y225">
            <v>87</v>
          </cell>
        </row>
        <row r="226">
          <cell r="A226" t="str">
            <v>2023-León</v>
          </cell>
          <cell r="B226" t="str">
            <v>2023-Atlas</v>
          </cell>
          <cell r="C226">
            <v>2023</v>
          </cell>
          <cell r="D226" t="str">
            <v>León</v>
          </cell>
          <cell r="E226">
            <v>1</v>
          </cell>
          <cell r="F226">
            <v>1</v>
          </cell>
          <cell r="G226" t="str">
            <v>Atlas</v>
          </cell>
          <cell r="H226">
            <v>41.5</v>
          </cell>
          <cell r="I226">
            <v>4.1500000000000004</v>
          </cell>
          <cell r="J226">
            <v>12.45</v>
          </cell>
          <cell r="K226">
            <v>12.45</v>
          </cell>
          <cell r="L226">
            <v>12.45</v>
          </cell>
          <cell r="M226">
            <v>0.3888888888888889</v>
          </cell>
          <cell r="N226">
            <v>0.3888888888888889</v>
          </cell>
          <cell r="O226">
            <v>0.22222222222222221</v>
          </cell>
          <cell r="P226">
            <v>87</v>
          </cell>
          <cell r="Q226">
            <v>30.7</v>
          </cell>
          <cell r="R226">
            <v>3.07</v>
          </cell>
          <cell r="S226">
            <v>9.2100000000000009</v>
          </cell>
          <cell r="T226">
            <v>9.2100000000000009</v>
          </cell>
          <cell r="U226">
            <v>9.2100000000000009</v>
          </cell>
          <cell r="V226">
            <v>0.26315789473684209</v>
          </cell>
          <cell r="W226">
            <v>0.31578947368421051</v>
          </cell>
          <cell r="X226">
            <v>0.42105263157894735</v>
          </cell>
          <cell r="Y226">
            <v>60</v>
          </cell>
        </row>
        <row r="227">
          <cell r="A227" t="str">
            <v>2023-León</v>
          </cell>
          <cell r="B227" t="str">
            <v>2023-Toluca</v>
          </cell>
          <cell r="C227">
            <v>2023</v>
          </cell>
          <cell r="D227" t="str">
            <v>León</v>
          </cell>
          <cell r="E227">
            <v>1</v>
          </cell>
          <cell r="F227">
            <v>0</v>
          </cell>
          <cell r="G227" t="str">
            <v>Toluca</v>
          </cell>
          <cell r="H227">
            <v>41.5</v>
          </cell>
          <cell r="I227">
            <v>4.1500000000000004</v>
          </cell>
          <cell r="J227">
            <v>12.45</v>
          </cell>
          <cell r="K227">
            <v>12.45</v>
          </cell>
          <cell r="L227">
            <v>12.45</v>
          </cell>
          <cell r="M227">
            <v>0.3888888888888889</v>
          </cell>
          <cell r="N227">
            <v>0.3888888888888889</v>
          </cell>
          <cell r="O227">
            <v>0.22222222222222221</v>
          </cell>
          <cell r="P227">
            <v>87</v>
          </cell>
          <cell r="Q227">
            <v>66.2</v>
          </cell>
          <cell r="R227">
            <v>6.62</v>
          </cell>
          <cell r="S227">
            <v>19.86</v>
          </cell>
          <cell r="T227">
            <v>19.86</v>
          </cell>
          <cell r="U227">
            <v>19.86</v>
          </cell>
          <cell r="V227">
            <v>0.38095238095238093</v>
          </cell>
          <cell r="W227">
            <v>0.33333333333333331</v>
          </cell>
          <cell r="X227">
            <v>0.2857142857142857</v>
          </cell>
          <cell r="Y227">
            <v>118</v>
          </cell>
        </row>
        <row r="228">
          <cell r="A228" t="str">
            <v>2023-Querétaro</v>
          </cell>
          <cell r="B228" t="str">
            <v>2023-León</v>
          </cell>
          <cell r="C228">
            <v>2023</v>
          </cell>
          <cell r="D228" t="str">
            <v>Querétaro</v>
          </cell>
          <cell r="E228">
            <v>1</v>
          </cell>
          <cell r="F228">
            <v>1</v>
          </cell>
          <cell r="G228" t="str">
            <v>León</v>
          </cell>
          <cell r="H228">
            <v>21.45</v>
          </cell>
          <cell r="I228">
            <v>2.14</v>
          </cell>
          <cell r="J228">
            <v>6.44</v>
          </cell>
          <cell r="K228">
            <v>6.44</v>
          </cell>
          <cell r="L228">
            <v>6.44</v>
          </cell>
          <cell r="M228">
            <v>0.35294117647058826</v>
          </cell>
          <cell r="N228">
            <v>0.11764705882352941</v>
          </cell>
          <cell r="O228">
            <v>0.52941176470588236</v>
          </cell>
          <cell r="P228">
            <v>64</v>
          </cell>
          <cell r="Q228">
            <v>41.5</v>
          </cell>
          <cell r="R228">
            <v>4.1500000000000004</v>
          </cell>
          <cell r="S228">
            <v>12.45</v>
          </cell>
          <cell r="T228">
            <v>12.45</v>
          </cell>
          <cell r="U228">
            <v>12.45</v>
          </cell>
          <cell r="V228">
            <v>0.27777777777777779</v>
          </cell>
          <cell r="W228">
            <v>0.27777777777777779</v>
          </cell>
          <cell r="X228">
            <v>0.44444444444444442</v>
          </cell>
          <cell r="Y228">
            <v>87</v>
          </cell>
        </row>
        <row r="229">
          <cell r="A229" t="str">
            <v>2023-León</v>
          </cell>
          <cell r="B229" t="str">
            <v>2023-Xolos</v>
          </cell>
          <cell r="C229">
            <v>2023</v>
          </cell>
          <cell r="D229" t="str">
            <v>León</v>
          </cell>
          <cell r="E229">
            <v>1</v>
          </cell>
          <cell r="F229">
            <v>0</v>
          </cell>
          <cell r="G229" t="str">
            <v>Xolos</v>
          </cell>
          <cell r="H229">
            <v>41.5</v>
          </cell>
          <cell r="I229">
            <v>4.1500000000000004</v>
          </cell>
          <cell r="J229">
            <v>12.45</v>
          </cell>
          <cell r="K229">
            <v>12.45</v>
          </cell>
          <cell r="L229">
            <v>12.45</v>
          </cell>
          <cell r="M229">
            <v>0.3888888888888889</v>
          </cell>
          <cell r="N229">
            <v>0.3888888888888889</v>
          </cell>
          <cell r="O229">
            <v>0.22222222222222221</v>
          </cell>
          <cell r="P229">
            <v>87</v>
          </cell>
          <cell r="Q229" t="str">
            <v>NULL</v>
          </cell>
          <cell r="R229" t="str">
            <v>NULL</v>
          </cell>
          <cell r="S229" t="str">
            <v>NULL</v>
          </cell>
          <cell r="T229" t="str">
            <v>NULL</v>
          </cell>
          <cell r="U229" t="str">
            <v>NULL</v>
          </cell>
          <cell r="V229">
            <v>0.27777777777777779</v>
          </cell>
          <cell r="W229">
            <v>0.22222222222222221</v>
          </cell>
          <cell r="X229">
            <v>0.5</v>
          </cell>
          <cell r="Y229">
            <v>49</v>
          </cell>
        </row>
        <row r="230">
          <cell r="A230" t="str">
            <v>2023-León</v>
          </cell>
          <cell r="B230" t="str">
            <v>2023-Necaxa</v>
          </cell>
          <cell r="C230">
            <v>2023</v>
          </cell>
          <cell r="D230" t="str">
            <v>León</v>
          </cell>
          <cell r="E230">
            <v>1</v>
          </cell>
          <cell r="F230">
            <v>1</v>
          </cell>
          <cell r="G230" t="str">
            <v>Necaxa</v>
          </cell>
          <cell r="H230">
            <v>41.5</v>
          </cell>
          <cell r="I230">
            <v>4.1500000000000004</v>
          </cell>
          <cell r="J230">
            <v>12.45</v>
          </cell>
          <cell r="K230">
            <v>12.45</v>
          </cell>
          <cell r="L230">
            <v>12.45</v>
          </cell>
          <cell r="M230">
            <v>0.3888888888888889</v>
          </cell>
          <cell r="N230">
            <v>0.3888888888888889</v>
          </cell>
          <cell r="O230">
            <v>0.22222222222222221</v>
          </cell>
          <cell r="P230">
            <v>87</v>
          </cell>
          <cell r="Q230">
            <v>40</v>
          </cell>
          <cell r="R230">
            <v>4</v>
          </cell>
          <cell r="S230">
            <v>12</v>
          </cell>
          <cell r="T230">
            <v>12</v>
          </cell>
          <cell r="U230">
            <v>12</v>
          </cell>
          <cell r="V230">
            <v>0.27777777777777779</v>
          </cell>
          <cell r="W230">
            <v>0.27777777777777779</v>
          </cell>
          <cell r="X230">
            <v>0.44444444444444442</v>
          </cell>
          <cell r="Y230">
            <v>77</v>
          </cell>
        </row>
        <row r="231">
          <cell r="A231" t="str">
            <v>2023-Atlético San Luis</v>
          </cell>
          <cell r="B231" t="str">
            <v>2023-León</v>
          </cell>
          <cell r="C231">
            <v>2023</v>
          </cell>
          <cell r="D231" t="str">
            <v>Atlético San Luis</v>
          </cell>
          <cell r="E231">
            <v>3</v>
          </cell>
          <cell r="F231">
            <v>0</v>
          </cell>
          <cell r="G231" t="str">
            <v>León</v>
          </cell>
          <cell r="H231">
            <v>35.85</v>
          </cell>
          <cell r="I231">
            <v>3.59</v>
          </cell>
          <cell r="J231">
            <v>10.77</v>
          </cell>
          <cell r="K231">
            <v>10.77</v>
          </cell>
          <cell r="L231">
            <v>10.77</v>
          </cell>
          <cell r="M231">
            <v>0.68421052631578949</v>
          </cell>
          <cell r="N231">
            <v>5.2631578947368418E-2</v>
          </cell>
          <cell r="O231">
            <v>0.26315789473684209</v>
          </cell>
          <cell r="P231">
            <v>59</v>
          </cell>
          <cell r="Q231">
            <v>41.5</v>
          </cell>
          <cell r="R231">
            <v>4.1500000000000004</v>
          </cell>
          <cell r="S231">
            <v>12.45</v>
          </cell>
          <cell r="T231">
            <v>12.45</v>
          </cell>
          <cell r="U231">
            <v>12.45</v>
          </cell>
          <cell r="V231">
            <v>0.27777777777777779</v>
          </cell>
          <cell r="W231">
            <v>0.27777777777777779</v>
          </cell>
          <cell r="X231">
            <v>0.44444444444444442</v>
          </cell>
          <cell r="Y231">
            <v>87</v>
          </cell>
        </row>
        <row r="232">
          <cell r="A232" t="str">
            <v>2023-León</v>
          </cell>
          <cell r="B232" t="str">
            <v>2023-Mazatlán</v>
          </cell>
          <cell r="C232">
            <v>2023</v>
          </cell>
          <cell r="D232" t="str">
            <v>León</v>
          </cell>
          <cell r="E232">
            <v>2</v>
          </cell>
          <cell r="F232">
            <v>1</v>
          </cell>
          <cell r="G232" t="str">
            <v>Mazatlán</v>
          </cell>
          <cell r="H232">
            <v>41.5</v>
          </cell>
          <cell r="I232">
            <v>4.1500000000000004</v>
          </cell>
          <cell r="J232">
            <v>12.45</v>
          </cell>
          <cell r="K232">
            <v>12.45</v>
          </cell>
          <cell r="L232">
            <v>12.45</v>
          </cell>
          <cell r="M232">
            <v>0.3888888888888889</v>
          </cell>
          <cell r="N232">
            <v>0.3888888888888889</v>
          </cell>
          <cell r="O232">
            <v>0.22222222222222221</v>
          </cell>
          <cell r="P232">
            <v>87</v>
          </cell>
          <cell r="Q232">
            <v>35.049999999999997</v>
          </cell>
          <cell r="R232">
            <v>3.5</v>
          </cell>
          <cell r="S232">
            <v>10.51</v>
          </cell>
          <cell r="T232">
            <v>10.51</v>
          </cell>
          <cell r="U232">
            <v>10.51</v>
          </cell>
          <cell r="V232">
            <v>5.8823529411764705E-2</v>
          </cell>
          <cell r="W232">
            <v>0.29411764705882354</v>
          </cell>
          <cell r="X232">
            <v>0.6470588235294118</v>
          </cell>
          <cell r="Y232">
            <v>40</v>
          </cell>
        </row>
        <row r="233">
          <cell r="A233" t="str">
            <v>2023-Tigres</v>
          </cell>
          <cell r="B233" t="str">
            <v>2023-León</v>
          </cell>
          <cell r="C233">
            <v>2023</v>
          </cell>
          <cell r="D233" t="str">
            <v>Tigres</v>
          </cell>
          <cell r="E233">
            <v>1</v>
          </cell>
          <cell r="F233">
            <v>0</v>
          </cell>
          <cell r="G233" t="str">
            <v>León</v>
          </cell>
          <cell r="H233">
            <v>67.599999999999994</v>
          </cell>
          <cell r="I233">
            <v>6.76</v>
          </cell>
          <cell r="J233">
            <v>20.28</v>
          </cell>
          <cell r="K233">
            <v>20.28</v>
          </cell>
          <cell r="L233">
            <v>20.28</v>
          </cell>
          <cell r="M233">
            <v>0.7</v>
          </cell>
          <cell r="N233">
            <v>0.25</v>
          </cell>
          <cell r="O233">
            <v>0.05</v>
          </cell>
          <cell r="P233">
            <v>107</v>
          </cell>
          <cell r="Q233">
            <v>41.5</v>
          </cell>
          <cell r="R233">
            <v>4.1500000000000004</v>
          </cell>
          <cell r="S233">
            <v>12.45</v>
          </cell>
          <cell r="T233">
            <v>12.45</v>
          </cell>
          <cell r="U233">
            <v>12.45</v>
          </cell>
          <cell r="V233">
            <v>0.27777777777777779</v>
          </cell>
          <cell r="W233">
            <v>0.27777777777777779</v>
          </cell>
          <cell r="X233">
            <v>0.44444444444444442</v>
          </cell>
          <cell r="Y233">
            <v>87</v>
          </cell>
        </row>
        <row r="234">
          <cell r="A234" t="str">
            <v>2023-León</v>
          </cell>
          <cell r="B234" t="str">
            <v>2023-Pachuca</v>
          </cell>
          <cell r="C234">
            <v>2023</v>
          </cell>
          <cell r="D234" t="str">
            <v>León</v>
          </cell>
          <cell r="E234">
            <v>4</v>
          </cell>
          <cell r="F234">
            <v>0</v>
          </cell>
          <cell r="G234" t="str">
            <v>Pachuca</v>
          </cell>
          <cell r="H234">
            <v>41.5</v>
          </cell>
          <cell r="I234">
            <v>4.1500000000000004</v>
          </cell>
          <cell r="J234">
            <v>12.45</v>
          </cell>
          <cell r="K234">
            <v>12.45</v>
          </cell>
          <cell r="L234">
            <v>12.45</v>
          </cell>
          <cell r="M234">
            <v>0.3888888888888889</v>
          </cell>
          <cell r="N234">
            <v>0.3888888888888889</v>
          </cell>
          <cell r="O234">
            <v>0.22222222222222221</v>
          </cell>
          <cell r="P234">
            <v>87</v>
          </cell>
          <cell r="Q234">
            <v>51.25</v>
          </cell>
          <cell r="R234">
            <v>5.13</v>
          </cell>
          <cell r="S234">
            <v>15.38</v>
          </cell>
          <cell r="T234">
            <v>15.38</v>
          </cell>
          <cell r="U234">
            <v>15.38</v>
          </cell>
          <cell r="V234">
            <v>0.26315789473684209</v>
          </cell>
          <cell r="W234">
            <v>0.15789473684210525</v>
          </cell>
          <cell r="X234">
            <v>0.57894736842105265</v>
          </cell>
          <cell r="Y234">
            <v>98</v>
          </cell>
        </row>
        <row r="235">
          <cell r="A235" t="str">
            <v>2023-León</v>
          </cell>
          <cell r="B235" t="str">
            <v>2023-Chivas</v>
          </cell>
          <cell r="C235">
            <v>2023</v>
          </cell>
          <cell r="D235" t="str">
            <v>León</v>
          </cell>
          <cell r="E235">
            <v>1</v>
          </cell>
          <cell r="F235">
            <v>2</v>
          </cell>
          <cell r="G235" t="str">
            <v>Chivas</v>
          </cell>
          <cell r="H235">
            <v>41.5</v>
          </cell>
          <cell r="I235">
            <v>4.1500000000000004</v>
          </cell>
          <cell r="J235">
            <v>12.45</v>
          </cell>
          <cell r="K235">
            <v>12.45</v>
          </cell>
          <cell r="L235">
            <v>12.45</v>
          </cell>
          <cell r="M235">
            <v>0.3888888888888889</v>
          </cell>
          <cell r="N235">
            <v>0.3888888888888889</v>
          </cell>
          <cell r="O235">
            <v>0.22222222222222221</v>
          </cell>
          <cell r="P235">
            <v>87</v>
          </cell>
          <cell r="Q235" t="str">
            <v>NULL</v>
          </cell>
          <cell r="R235" t="str">
            <v>NULL</v>
          </cell>
          <cell r="S235" t="str">
            <v>NULL</v>
          </cell>
          <cell r="T235" t="str">
            <v>NULL</v>
          </cell>
          <cell r="U235" t="str">
            <v>NULL</v>
          </cell>
          <cell r="V235">
            <v>0.23529411764705882</v>
          </cell>
          <cell r="W235">
            <v>0.23529411764705882</v>
          </cell>
          <cell r="X235">
            <v>0.52941176470588236</v>
          </cell>
          <cell r="Y235">
            <v>99</v>
          </cell>
        </row>
        <row r="236">
          <cell r="A236" t="str">
            <v>2024-Pachuca</v>
          </cell>
          <cell r="B236" t="str">
            <v>2024-Mazatlán</v>
          </cell>
          <cell r="C236">
            <v>2024</v>
          </cell>
          <cell r="D236" t="str">
            <v>Pachuca</v>
          </cell>
          <cell r="E236">
            <v>1</v>
          </cell>
          <cell r="F236">
            <v>1</v>
          </cell>
          <cell r="G236" t="str">
            <v>Mazatlán</v>
          </cell>
          <cell r="H236">
            <v>56.6</v>
          </cell>
          <cell r="I236">
            <v>5.66</v>
          </cell>
          <cell r="J236">
            <v>16.98</v>
          </cell>
          <cell r="K236">
            <v>16.98</v>
          </cell>
          <cell r="L236">
            <v>16.98</v>
          </cell>
          <cell r="M236">
            <v>0.3888888888888889</v>
          </cell>
          <cell r="N236">
            <v>0.33333333333333331</v>
          </cell>
          <cell r="O236">
            <v>0.27777777777777779</v>
          </cell>
          <cell r="P236">
            <v>98</v>
          </cell>
          <cell r="Q236">
            <v>31.45</v>
          </cell>
          <cell r="R236">
            <v>3.15</v>
          </cell>
          <cell r="S236">
            <v>9.44</v>
          </cell>
          <cell r="T236">
            <v>9.44</v>
          </cell>
          <cell r="U236">
            <v>9.44</v>
          </cell>
          <cell r="V236">
            <v>5.8823529411764705E-2</v>
          </cell>
          <cell r="W236">
            <v>0.29411764705882354</v>
          </cell>
          <cell r="X236">
            <v>0.6470588235294118</v>
          </cell>
          <cell r="Y236">
            <v>40</v>
          </cell>
        </row>
        <row r="237">
          <cell r="A237" t="str">
            <v>2024-Mazatlán</v>
          </cell>
          <cell r="B237" t="str">
            <v>2024-Pumas</v>
          </cell>
          <cell r="C237">
            <v>2024</v>
          </cell>
          <cell r="D237" t="str">
            <v>Mazatlán</v>
          </cell>
          <cell r="E237">
            <v>0</v>
          </cell>
          <cell r="F237">
            <v>4</v>
          </cell>
          <cell r="G237" t="str">
            <v>Pumas</v>
          </cell>
          <cell r="H237">
            <v>31.45</v>
          </cell>
          <cell r="I237">
            <v>3.15</v>
          </cell>
          <cell r="J237">
            <v>9.44</v>
          </cell>
          <cell r="K237">
            <v>9.44</v>
          </cell>
          <cell r="L237">
            <v>9.44</v>
          </cell>
          <cell r="M237">
            <v>0.29411764705882354</v>
          </cell>
          <cell r="N237">
            <v>0.47058823529411764</v>
          </cell>
          <cell r="O237">
            <v>0.23529411764705882</v>
          </cell>
          <cell r="P237">
            <v>40</v>
          </cell>
          <cell r="Q237">
            <v>47.6</v>
          </cell>
          <cell r="R237">
            <v>4.76</v>
          </cell>
          <cell r="S237">
            <v>14.28</v>
          </cell>
          <cell r="T237">
            <v>14.28</v>
          </cell>
          <cell r="U237">
            <v>14.28</v>
          </cell>
          <cell r="V237">
            <v>0.3</v>
          </cell>
          <cell r="W237">
            <v>0.25</v>
          </cell>
          <cell r="X237">
            <v>0.45</v>
          </cell>
          <cell r="Y237">
            <v>75</v>
          </cell>
        </row>
        <row r="238">
          <cell r="A238" t="str">
            <v>2024-Mazatlán</v>
          </cell>
          <cell r="B238" t="str">
            <v>2024-Xolos</v>
          </cell>
          <cell r="C238">
            <v>2024</v>
          </cell>
          <cell r="D238" t="str">
            <v>Mazatlán</v>
          </cell>
          <cell r="E238">
            <v>2</v>
          </cell>
          <cell r="F238">
            <v>0</v>
          </cell>
          <cell r="G238" t="str">
            <v>Xolos</v>
          </cell>
          <cell r="H238">
            <v>31.45</v>
          </cell>
          <cell r="I238">
            <v>3.15</v>
          </cell>
          <cell r="J238">
            <v>9.44</v>
          </cell>
          <cell r="K238">
            <v>9.44</v>
          </cell>
          <cell r="L238">
            <v>9.44</v>
          </cell>
          <cell r="M238">
            <v>0.29411764705882354</v>
          </cell>
          <cell r="N238">
            <v>0.47058823529411764</v>
          </cell>
          <cell r="O238">
            <v>0.23529411764705882</v>
          </cell>
          <cell r="P238">
            <v>40</v>
          </cell>
          <cell r="Q238">
            <v>39.15</v>
          </cell>
          <cell r="R238">
            <v>3.92</v>
          </cell>
          <cell r="S238">
            <v>11.75</v>
          </cell>
          <cell r="T238">
            <v>11.75</v>
          </cell>
          <cell r="U238">
            <v>11.75</v>
          </cell>
          <cell r="V238">
            <v>0.27777777777777779</v>
          </cell>
          <cell r="W238">
            <v>0.22222222222222221</v>
          </cell>
          <cell r="X238">
            <v>0.5</v>
          </cell>
          <cell r="Y238">
            <v>49</v>
          </cell>
        </row>
        <row r="239">
          <cell r="A239" t="str">
            <v>2024-Tigres</v>
          </cell>
          <cell r="B239" t="str">
            <v>2024-Mazatlán</v>
          </cell>
          <cell r="C239">
            <v>2024</v>
          </cell>
          <cell r="D239" t="str">
            <v>Tigres</v>
          </cell>
          <cell r="E239">
            <v>5</v>
          </cell>
          <cell r="F239">
            <v>1</v>
          </cell>
          <cell r="G239" t="str">
            <v>Mazatlán</v>
          </cell>
          <cell r="H239">
            <v>67</v>
          </cell>
          <cell r="I239">
            <v>6.7</v>
          </cell>
          <cell r="J239">
            <v>20.100000000000001</v>
          </cell>
          <cell r="K239">
            <v>20.100000000000001</v>
          </cell>
          <cell r="L239">
            <v>20.100000000000001</v>
          </cell>
          <cell r="M239">
            <v>0.7</v>
          </cell>
          <cell r="N239">
            <v>0.25</v>
          </cell>
          <cell r="O239">
            <v>0.05</v>
          </cell>
          <cell r="P239">
            <v>107</v>
          </cell>
          <cell r="Q239">
            <v>31.45</v>
          </cell>
          <cell r="R239">
            <v>3.15</v>
          </cell>
          <cell r="S239">
            <v>9.44</v>
          </cell>
          <cell r="T239">
            <v>9.44</v>
          </cell>
          <cell r="U239">
            <v>9.44</v>
          </cell>
          <cell r="V239">
            <v>5.8823529411764705E-2</v>
          </cell>
          <cell r="W239">
            <v>0.29411764705882354</v>
          </cell>
          <cell r="X239">
            <v>0.6470588235294118</v>
          </cell>
          <cell r="Y239">
            <v>40</v>
          </cell>
        </row>
        <row r="240">
          <cell r="A240" t="str">
            <v>2024-Monterrey</v>
          </cell>
          <cell r="B240" t="str">
            <v>2024-Mazatlán</v>
          </cell>
          <cell r="C240">
            <v>2024</v>
          </cell>
          <cell r="D240" t="str">
            <v>Monterrey</v>
          </cell>
          <cell r="E240">
            <v>2</v>
          </cell>
          <cell r="F240">
            <v>1</v>
          </cell>
          <cell r="G240" t="str">
            <v>Mazatlán</v>
          </cell>
          <cell r="H240">
            <v>88.6</v>
          </cell>
          <cell r="I240">
            <v>8.86</v>
          </cell>
          <cell r="J240">
            <v>26.58</v>
          </cell>
          <cell r="K240">
            <v>26.58</v>
          </cell>
          <cell r="L240">
            <v>26.58</v>
          </cell>
          <cell r="M240">
            <v>0.60869565217391308</v>
          </cell>
          <cell r="N240">
            <v>0.17391304347826086</v>
          </cell>
          <cell r="O240">
            <v>0.21739130434782608</v>
          </cell>
          <cell r="P240">
            <v>118</v>
          </cell>
          <cell r="Q240">
            <v>31.45</v>
          </cell>
          <cell r="R240">
            <v>3.15</v>
          </cell>
          <cell r="S240">
            <v>9.44</v>
          </cell>
          <cell r="T240">
            <v>9.44</v>
          </cell>
          <cell r="U240">
            <v>9.44</v>
          </cell>
          <cell r="V240">
            <v>5.8823529411764705E-2</v>
          </cell>
          <cell r="W240">
            <v>0.29411764705882354</v>
          </cell>
          <cell r="X240">
            <v>0.6470588235294118</v>
          </cell>
          <cell r="Y240">
            <v>40</v>
          </cell>
        </row>
        <row r="241">
          <cell r="A241" t="str">
            <v>2024-Mazatlán</v>
          </cell>
          <cell r="B241" t="str">
            <v>2024-Necaxa</v>
          </cell>
          <cell r="C241">
            <v>2024</v>
          </cell>
          <cell r="D241" t="str">
            <v>Mazatlán</v>
          </cell>
          <cell r="E241">
            <v>2</v>
          </cell>
          <cell r="F241">
            <v>1</v>
          </cell>
          <cell r="G241" t="str">
            <v>Necaxa</v>
          </cell>
          <cell r="H241">
            <v>31.45</v>
          </cell>
          <cell r="I241">
            <v>3.15</v>
          </cell>
          <cell r="J241">
            <v>9.44</v>
          </cell>
          <cell r="K241">
            <v>9.44</v>
          </cell>
          <cell r="L241">
            <v>9.44</v>
          </cell>
          <cell r="M241">
            <v>0.29411764705882354</v>
          </cell>
          <cell r="N241">
            <v>0.47058823529411764</v>
          </cell>
          <cell r="O241">
            <v>0.23529411764705882</v>
          </cell>
          <cell r="P241">
            <v>40</v>
          </cell>
          <cell r="Q241">
            <v>38.5</v>
          </cell>
          <cell r="R241">
            <v>3.85</v>
          </cell>
          <cell r="S241">
            <v>11.55</v>
          </cell>
          <cell r="T241">
            <v>11.55</v>
          </cell>
          <cell r="U241">
            <v>11.55</v>
          </cell>
          <cell r="V241">
            <v>0.27777777777777779</v>
          </cell>
          <cell r="W241">
            <v>0.27777777777777779</v>
          </cell>
          <cell r="X241">
            <v>0.44444444444444442</v>
          </cell>
          <cell r="Y241">
            <v>77</v>
          </cell>
        </row>
        <row r="242">
          <cell r="A242" t="str">
            <v>2024-Santos Laguna</v>
          </cell>
          <cell r="B242" t="str">
            <v>2024-Mazatlán</v>
          </cell>
          <cell r="C242">
            <v>2024</v>
          </cell>
          <cell r="D242" t="str">
            <v>Santos Laguna</v>
          </cell>
          <cell r="E242">
            <v>1</v>
          </cell>
          <cell r="F242">
            <v>0</v>
          </cell>
          <cell r="G242" t="str">
            <v>Mazatlán</v>
          </cell>
          <cell r="H242">
            <v>35.9</v>
          </cell>
          <cell r="I242">
            <v>3.59</v>
          </cell>
          <cell r="J242">
            <v>10.77</v>
          </cell>
          <cell r="K242">
            <v>10.77</v>
          </cell>
          <cell r="L242">
            <v>10.77</v>
          </cell>
          <cell r="M242">
            <v>0.23529411764705882</v>
          </cell>
          <cell r="N242">
            <v>0.17647058823529413</v>
          </cell>
          <cell r="O242">
            <v>0.58823529411764708</v>
          </cell>
          <cell r="P242">
            <v>46</v>
          </cell>
          <cell r="Q242">
            <v>31.45</v>
          </cell>
          <cell r="R242">
            <v>3.15</v>
          </cell>
          <cell r="S242">
            <v>9.44</v>
          </cell>
          <cell r="T242">
            <v>9.44</v>
          </cell>
          <cell r="U242">
            <v>9.44</v>
          </cell>
          <cell r="V242">
            <v>5.8823529411764705E-2</v>
          </cell>
          <cell r="W242">
            <v>0.29411764705882354</v>
          </cell>
          <cell r="X242">
            <v>0.6470588235294118</v>
          </cell>
          <cell r="Y242">
            <v>40</v>
          </cell>
        </row>
        <row r="243">
          <cell r="A243" t="str">
            <v>2024-América</v>
          </cell>
          <cell r="B243" t="str">
            <v>2024-Mazatlán</v>
          </cell>
          <cell r="C243">
            <v>2024</v>
          </cell>
          <cell r="D243" t="str">
            <v>América</v>
          </cell>
          <cell r="E243">
            <v>2</v>
          </cell>
          <cell r="F243">
            <v>2</v>
          </cell>
          <cell r="G243" t="str">
            <v>Mazatlán</v>
          </cell>
          <cell r="H243">
            <v>92.45</v>
          </cell>
          <cell r="I243">
            <v>9.25</v>
          </cell>
          <cell r="J243">
            <v>27.73</v>
          </cell>
          <cell r="K243">
            <v>27.73</v>
          </cell>
          <cell r="L243">
            <v>27.73</v>
          </cell>
          <cell r="M243">
            <v>0.65217391304347827</v>
          </cell>
          <cell r="N243">
            <v>0.21739130434782608</v>
          </cell>
          <cell r="O243">
            <v>0.13043478260869565</v>
          </cell>
          <cell r="P243">
            <v>133</v>
          </cell>
          <cell r="Q243">
            <v>31.45</v>
          </cell>
          <cell r="R243">
            <v>3.15</v>
          </cell>
          <cell r="S243">
            <v>9.44</v>
          </cell>
          <cell r="T243">
            <v>9.44</v>
          </cell>
          <cell r="U243">
            <v>9.44</v>
          </cell>
          <cell r="V243">
            <v>5.8823529411764705E-2</v>
          </cell>
          <cell r="W243">
            <v>0.29411764705882354</v>
          </cell>
          <cell r="X243">
            <v>0.6470588235294118</v>
          </cell>
          <cell r="Y243">
            <v>40</v>
          </cell>
        </row>
        <row r="244">
          <cell r="A244" t="str">
            <v>2024-Mazatlán</v>
          </cell>
          <cell r="B244" t="str">
            <v>2024-Chivas</v>
          </cell>
          <cell r="C244">
            <v>2024</v>
          </cell>
          <cell r="D244" t="str">
            <v>Mazatlán</v>
          </cell>
          <cell r="E244">
            <v>2</v>
          </cell>
          <cell r="F244">
            <v>2</v>
          </cell>
          <cell r="G244" t="str">
            <v>Chivas</v>
          </cell>
          <cell r="H244">
            <v>31.45</v>
          </cell>
          <cell r="I244">
            <v>3.15</v>
          </cell>
          <cell r="J244">
            <v>9.44</v>
          </cell>
          <cell r="K244">
            <v>9.44</v>
          </cell>
          <cell r="L244">
            <v>9.44</v>
          </cell>
          <cell r="M244">
            <v>0.29411764705882354</v>
          </cell>
          <cell r="N244">
            <v>0.47058823529411764</v>
          </cell>
          <cell r="O244">
            <v>0.23529411764705882</v>
          </cell>
          <cell r="P244">
            <v>40</v>
          </cell>
          <cell r="Q244" t="str">
            <v>NULL</v>
          </cell>
          <cell r="R244" t="str">
            <v>NULL</v>
          </cell>
          <cell r="S244" t="str">
            <v>NULL</v>
          </cell>
          <cell r="T244" t="str">
            <v>NULL</v>
          </cell>
          <cell r="U244" t="str">
            <v>NULL</v>
          </cell>
          <cell r="V244">
            <v>0.23529411764705882</v>
          </cell>
          <cell r="W244">
            <v>0.23529411764705882</v>
          </cell>
          <cell r="X244">
            <v>0.52941176470588236</v>
          </cell>
          <cell r="Y244">
            <v>99</v>
          </cell>
        </row>
        <row r="245">
          <cell r="A245" t="str">
            <v>2024-Mazatlán</v>
          </cell>
          <cell r="B245" t="str">
            <v>2024-Atlas</v>
          </cell>
          <cell r="C245">
            <v>2024</v>
          </cell>
          <cell r="D245" t="str">
            <v>Mazatlán</v>
          </cell>
          <cell r="E245">
            <v>2</v>
          </cell>
          <cell r="F245">
            <v>0</v>
          </cell>
          <cell r="G245" t="str">
            <v>Atlas</v>
          </cell>
          <cell r="H245">
            <v>31.45</v>
          </cell>
          <cell r="I245">
            <v>3.15</v>
          </cell>
          <cell r="J245">
            <v>9.44</v>
          </cell>
          <cell r="K245">
            <v>9.44</v>
          </cell>
          <cell r="L245">
            <v>9.44</v>
          </cell>
          <cell r="M245">
            <v>0.29411764705882354</v>
          </cell>
          <cell r="N245">
            <v>0.47058823529411764</v>
          </cell>
          <cell r="O245">
            <v>0.23529411764705882</v>
          </cell>
          <cell r="P245">
            <v>40</v>
          </cell>
          <cell r="Q245">
            <v>28.95</v>
          </cell>
          <cell r="R245">
            <v>2.9</v>
          </cell>
          <cell r="S245">
            <v>8.68</v>
          </cell>
          <cell r="T245">
            <v>8.68</v>
          </cell>
          <cell r="U245">
            <v>8.68</v>
          </cell>
          <cell r="V245">
            <v>0.26315789473684209</v>
          </cell>
          <cell r="W245">
            <v>0.31578947368421051</v>
          </cell>
          <cell r="X245">
            <v>0.42105263157894735</v>
          </cell>
          <cell r="Y245">
            <v>60</v>
          </cell>
        </row>
        <row r="246">
          <cell r="A246" t="str">
            <v>2024-Mazatlán</v>
          </cell>
          <cell r="B246" t="str">
            <v>2024-León</v>
          </cell>
          <cell r="C246">
            <v>2024</v>
          </cell>
          <cell r="D246" t="str">
            <v>Mazatlán</v>
          </cell>
          <cell r="E246">
            <v>2</v>
          </cell>
          <cell r="F246">
            <v>2</v>
          </cell>
          <cell r="G246" t="str">
            <v>León</v>
          </cell>
          <cell r="H246">
            <v>31.45</v>
          </cell>
          <cell r="I246">
            <v>3.15</v>
          </cell>
          <cell r="J246">
            <v>9.44</v>
          </cell>
          <cell r="K246">
            <v>9.44</v>
          </cell>
          <cell r="L246">
            <v>9.44</v>
          </cell>
          <cell r="M246">
            <v>0.29411764705882354</v>
          </cell>
          <cell r="N246">
            <v>0.47058823529411764</v>
          </cell>
          <cell r="O246">
            <v>0.23529411764705882</v>
          </cell>
          <cell r="P246">
            <v>40</v>
          </cell>
          <cell r="Q246">
            <v>29.55</v>
          </cell>
          <cell r="R246">
            <v>2.96</v>
          </cell>
          <cell r="S246">
            <v>8.8699999999999992</v>
          </cell>
          <cell r="T246">
            <v>8.8699999999999992</v>
          </cell>
          <cell r="U246">
            <v>8.8699999999999992</v>
          </cell>
          <cell r="V246">
            <v>0.27777777777777779</v>
          </cell>
          <cell r="W246">
            <v>0.27777777777777779</v>
          </cell>
          <cell r="X246">
            <v>0.44444444444444442</v>
          </cell>
          <cell r="Y246">
            <v>87</v>
          </cell>
        </row>
        <row r="247">
          <cell r="A247" t="str">
            <v>2024-Cruz Azul</v>
          </cell>
          <cell r="B247" t="str">
            <v>2024-Mazatlán</v>
          </cell>
          <cell r="C247">
            <v>2024</v>
          </cell>
          <cell r="D247" t="str">
            <v>Cruz Azul</v>
          </cell>
          <cell r="E247">
            <v>2</v>
          </cell>
          <cell r="F247">
            <v>1</v>
          </cell>
          <cell r="G247" t="str">
            <v>Mazatlán</v>
          </cell>
          <cell r="H247">
            <v>78.849999999999994</v>
          </cell>
          <cell r="I247">
            <v>7.89</v>
          </cell>
          <cell r="J247">
            <v>23.66</v>
          </cell>
          <cell r="K247">
            <v>23.66</v>
          </cell>
          <cell r="L247">
            <v>23.66</v>
          </cell>
          <cell r="M247">
            <v>0.7142857142857143</v>
          </cell>
          <cell r="N247">
            <v>0.23809523809523808</v>
          </cell>
          <cell r="O247">
            <v>4.7619047619047616E-2</v>
          </cell>
          <cell r="P247">
            <v>107</v>
          </cell>
          <cell r="Q247">
            <v>31.45</v>
          </cell>
          <cell r="R247">
            <v>3.15</v>
          </cell>
          <cell r="S247">
            <v>9.44</v>
          </cell>
          <cell r="T247">
            <v>9.44</v>
          </cell>
          <cell r="U247">
            <v>9.44</v>
          </cell>
          <cell r="V247">
            <v>5.8823529411764705E-2</v>
          </cell>
          <cell r="W247">
            <v>0.29411764705882354</v>
          </cell>
          <cell r="X247">
            <v>0.6470588235294118</v>
          </cell>
          <cell r="Y247">
            <v>40</v>
          </cell>
        </row>
        <row r="248">
          <cell r="A248" t="str">
            <v>2024-Toluca</v>
          </cell>
          <cell r="B248" t="str">
            <v>2024-Mazatlán</v>
          </cell>
          <cell r="C248">
            <v>2024</v>
          </cell>
          <cell r="D248" t="str">
            <v>Toluca</v>
          </cell>
          <cell r="E248">
            <v>4</v>
          </cell>
          <cell r="F248">
            <v>1</v>
          </cell>
          <cell r="G248" t="str">
            <v>Mazatlán</v>
          </cell>
          <cell r="H248">
            <v>77.45</v>
          </cell>
          <cell r="I248">
            <v>7.75</v>
          </cell>
          <cell r="J248">
            <v>23.24</v>
          </cell>
          <cell r="K248">
            <v>23.24</v>
          </cell>
          <cell r="L248">
            <v>23.24</v>
          </cell>
          <cell r="M248">
            <v>0.76190476190476186</v>
          </cell>
          <cell r="N248">
            <v>0.19047619047619047</v>
          </cell>
          <cell r="O248">
            <v>4.7619047619047616E-2</v>
          </cell>
          <cell r="P248">
            <v>118</v>
          </cell>
          <cell r="Q248">
            <v>31.45</v>
          </cell>
          <cell r="R248">
            <v>3.15</v>
          </cell>
          <cell r="S248">
            <v>9.44</v>
          </cell>
          <cell r="T248">
            <v>9.44</v>
          </cell>
          <cell r="U248">
            <v>9.44</v>
          </cell>
          <cell r="V248">
            <v>5.8823529411764705E-2</v>
          </cell>
          <cell r="W248">
            <v>0.29411764705882354</v>
          </cell>
          <cell r="X248">
            <v>0.6470588235294118</v>
          </cell>
          <cell r="Y248">
            <v>40</v>
          </cell>
        </row>
        <row r="249">
          <cell r="A249" t="str">
            <v>2024-Mazatlán</v>
          </cell>
          <cell r="B249" t="str">
            <v>2024-Atlético San Luis</v>
          </cell>
          <cell r="C249">
            <v>2024</v>
          </cell>
          <cell r="D249" t="str">
            <v>Mazatlán</v>
          </cell>
          <cell r="E249">
            <v>0</v>
          </cell>
          <cell r="F249">
            <v>1</v>
          </cell>
          <cell r="G249" t="str">
            <v>Atlético San Luis</v>
          </cell>
          <cell r="H249">
            <v>31.45</v>
          </cell>
          <cell r="I249">
            <v>3.15</v>
          </cell>
          <cell r="J249">
            <v>9.44</v>
          </cell>
          <cell r="K249">
            <v>9.44</v>
          </cell>
          <cell r="L249">
            <v>9.44</v>
          </cell>
          <cell r="M249">
            <v>0.29411764705882354</v>
          </cell>
          <cell r="N249">
            <v>0.47058823529411764</v>
          </cell>
          <cell r="O249">
            <v>0.23529411764705882</v>
          </cell>
          <cell r="P249">
            <v>40</v>
          </cell>
          <cell r="Q249">
            <v>45.95</v>
          </cell>
          <cell r="R249">
            <v>4.5999999999999996</v>
          </cell>
          <cell r="S249">
            <v>13.84</v>
          </cell>
          <cell r="T249">
            <v>13.84</v>
          </cell>
          <cell r="U249">
            <v>13.84</v>
          </cell>
          <cell r="V249">
            <v>0.21052631578947367</v>
          </cell>
          <cell r="W249">
            <v>0.15789473684210525</v>
          </cell>
          <cell r="X249">
            <v>0.63157894736842102</v>
          </cell>
          <cell r="Y249">
            <v>59</v>
          </cell>
        </row>
        <row r="250">
          <cell r="A250" t="str">
            <v>2023-Santos Laguna</v>
          </cell>
          <cell r="B250" t="str">
            <v>2023-Mazatlán</v>
          </cell>
          <cell r="C250">
            <v>2023</v>
          </cell>
          <cell r="D250" t="str">
            <v>Santos Laguna</v>
          </cell>
          <cell r="E250">
            <v>2</v>
          </cell>
          <cell r="F250">
            <v>1</v>
          </cell>
          <cell r="G250" t="str">
            <v>Mazatlán</v>
          </cell>
          <cell r="H250">
            <v>46</v>
          </cell>
          <cell r="I250">
            <v>4.5999999999999996</v>
          </cell>
          <cell r="J250">
            <v>13.8</v>
          </cell>
          <cell r="K250">
            <v>13.8</v>
          </cell>
          <cell r="L250">
            <v>13.8</v>
          </cell>
          <cell r="M250">
            <v>0.23529411764705882</v>
          </cell>
          <cell r="N250">
            <v>0.17647058823529413</v>
          </cell>
          <cell r="O250">
            <v>0.58823529411764708</v>
          </cell>
          <cell r="P250">
            <v>46</v>
          </cell>
          <cell r="Q250">
            <v>35.049999999999997</v>
          </cell>
          <cell r="R250">
            <v>3.5</v>
          </cell>
          <cell r="S250">
            <v>10.51</v>
          </cell>
          <cell r="T250">
            <v>10.51</v>
          </cell>
          <cell r="U250">
            <v>10.51</v>
          </cell>
          <cell r="V250">
            <v>5.8823529411764705E-2</v>
          </cell>
          <cell r="W250">
            <v>0.29411764705882354</v>
          </cell>
          <cell r="X250">
            <v>0.6470588235294118</v>
          </cell>
          <cell r="Y250">
            <v>40</v>
          </cell>
        </row>
        <row r="251">
          <cell r="A251" t="str">
            <v>2023-Mazatlán</v>
          </cell>
          <cell r="B251" t="str">
            <v>2023-Toluca</v>
          </cell>
          <cell r="C251">
            <v>2023</v>
          </cell>
          <cell r="D251" t="str">
            <v>Mazatlán</v>
          </cell>
          <cell r="E251">
            <v>1</v>
          </cell>
          <cell r="F251">
            <v>0</v>
          </cell>
          <cell r="G251" t="str">
            <v>Toluca</v>
          </cell>
          <cell r="H251">
            <v>35.049999999999997</v>
          </cell>
          <cell r="I251">
            <v>3.5</v>
          </cell>
          <cell r="J251">
            <v>10.51</v>
          </cell>
          <cell r="K251">
            <v>10.51</v>
          </cell>
          <cell r="L251">
            <v>10.51</v>
          </cell>
          <cell r="M251">
            <v>0.29411764705882354</v>
          </cell>
          <cell r="N251">
            <v>0.47058823529411764</v>
          </cell>
          <cell r="O251">
            <v>0.23529411764705882</v>
          </cell>
          <cell r="P251">
            <v>40</v>
          </cell>
          <cell r="Q251">
            <v>66.2</v>
          </cell>
          <cell r="R251">
            <v>6.62</v>
          </cell>
          <cell r="S251">
            <v>19.86</v>
          </cell>
          <cell r="T251">
            <v>19.86</v>
          </cell>
          <cell r="U251">
            <v>19.86</v>
          </cell>
          <cell r="V251">
            <v>0.38095238095238093</v>
          </cell>
          <cell r="W251">
            <v>0.33333333333333331</v>
          </cell>
          <cell r="X251">
            <v>0.2857142857142857</v>
          </cell>
          <cell r="Y251">
            <v>118</v>
          </cell>
        </row>
        <row r="252">
          <cell r="A252" t="str">
            <v>2023-Necaxa</v>
          </cell>
          <cell r="B252" t="str">
            <v>2023-Mazatlán</v>
          </cell>
          <cell r="C252">
            <v>2023</v>
          </cell>
          <cell r="D252" t="str">
            <v>Necaxa</v>
          </cell>
          <cell r="E252">
            <v>4</v>
          </cell>
          <cell r="F252">
            <v>0</v>
          </cell>
          <cell r="G252" t="str">
            <v>Mazatlán</v>
          </cell>
          <cell r="H252">
            <v>40</v>
          </cell>
          <cell r="I252">
            <v>4</v>
          </cell>
          <cell r="J252">
            <v>12</v>
          </cell>
          <cell r="K252">
            <v>12</v>
          </cell>
          <cell r="L252">
            <v>12</v>
          </cell>
          <cell r="M252">
            <v>0.44444444444444442</v>
          </cell>
          <cell r="N252">
            <v>0.22222222222222221</v>
          </cell>
          <cell r="O252">
            <v>0.33333333333333331</v>
          </cell>
          <cell r="P252">
            <v>77</v>
          </cell>
          <cell r="Q252">
            <v>35.049999999999997</v>
          </cell>
          <cell r="R252">
            <v>3.5</v>
          </cell>
          <cell r="S252">
            <v>10.51</v>
          </cell>
          <cell r="T252">
            <v>10.51</v>
          </cell>
          <cell r="U252">
            <v>10.51</v>
          </cell>
          <cell r="V252">
            <v>5.8823529411764705E-2</v>
          </cell>
          <cell r="W252">
            <v>0.29411764705882354</v>
          </cell>
          <cell r="X252">
            <v>0.6470588235294118</v>
          </cell>
          <cell r="Y252">
            <v>40</v>
          </cell>
        </row>
        <row r="253">
          <cell r="A253" t="str">
            <v>2023-Mazatlán</v>
          </cell>
          <cell r="B253" t="str">
            <v>2023-Santos Laguna</v>
          </cell>
          <cell r="C253">
            <v>2023</v>
          </cell>
          <cell r="D253" t="str">
            <v>Mazatlán</v>
          </cell>
          <cell r="E253">
            <v>3</v>
          </cell>
          <cell r="F253">
            <v>1</v>
          </cell>
          <cell r="G253" t="str">
            <v>Santos Laguna</v>
          </cell>
          <cell r="H253">
            <v>35.049999999999997</v>
          </cell>
          <cell r="I253">
            <v>3.5</v>
          </cell>
          <cell r="J253">
            <v>10.51</v>
          </cell>
          <cell r="K253">
            <v>10.51</v>
          </cell>
          <cell r="L253">
            <v>10.51</v>
          </cell>
          <cell r="M253">
            <v>0.29411764705882354</v>
          </cell>
          <cell r="N253">
            <v>0.47058823529411764</v>
          </cell>
          <cell r="O253">
            <v>0.23529411764705882</v>
          </cell>
          <cell r="P253">
            <v>40</v>
          </cell>
          <cell r="Q253" t="str">
            <v>NULL</v>
          </cell>
          <cell r="R253" t="str">
            <v>NULL</v>
          </cell>
          <cell r="S253" t="str">
            <v>NULL</v>
          </cell>
          <cell r="T253" t="str">
            <v>NULL</v>
          </cell>
          <cell r="U253" t="str">
            <v>NULL</v>
          </cell>
          <cell r="V253">
            <v>0</v>
          </cell>
          <cell r="W253">
            <v>0.11764705882352941</v>
          </cell>
          <cell r="X253">
            <v>0.88235294117647056</v>
          </cell>
          <cell r="Y253">
            <v>46</v>
          </cell>
        </row>
        <row r="254">
          <cell r="A254" t="str">
            <v>2023-Mazatlán</v>
          </cell>
          <cell r="B254" t="str">
            <v>2023-Querétaro</v>
          </cell>
          <cell r="C254">
            <v>2023</v>
          </cell>
          <cell r="D254" t="str">
            <v>Mazatlán</v>
          </cell>
          <cell r="E254">
            <v>3</v>
          </cell>
          <cell r="F254">
            <v>0</v>
          </cell>
          <cell r="G254" t="str">
            <v>Querétaro</v>
          </cell>
          <cell r="H254">
            <v>35.049999999999997</v>
          </cell>
          <cell r="I254">
            <v>3.5</v>
          </cell>
          <cell r="J254">
            <v>10.51</v>
          </cell>
          <cell r="K254">
            <v>10.51</v>
          </cell>
          <cell r="L254">
            <v>10.51</v>
          </cell>
          <cell r="M254">
            <v>0.29411764705882354</v>
          </cell>
          <cell r="N254">
            <v>0.47058823529411764</v>
          </cell>
          <cell r="O254">
            <v>0.23529411764705882</v>
          </cell>
          <cell r="P254">
            <v>40</v>
          </cell>
          <cell r="Q254" t="str">
            <v>NULL</v>
          </cell>
          <cell r="R254" t="str">
            <v>NULL</v>
          </cell>
          <cell r="S254" t="str">
            <v>NULL</v>
          </cell>
          <cell r="T254" t="str">
            <v>NULL</v>
          </cell>
          <cell r="U254" t="str">
            <v>NULL</v>
          </cell>
          <cell r="V254">
            <v>0.17647058823529413</v>
          </cell>
          <cell r="W254">
            <v>0.17647058823529413</v>
          </cell>
          <cell r="X254">
            <v>0.6470588235294118</v>
          </cell>
          <cell r="Y254">
            <v>64</v>
          </cell>
        </row>
        <row r="255">
          <cell r="A255" t="str">
            <v>2023-Mazatlán</v>
          </cell>
          <cell r="B255" t="str">
            <v>2023-América</v>
          </cell>
          <cell r="C255">
            <v>2023</v>
          </cell>
          <cell r="D255" t="str">
            <v>Mazatlán</v>
          </cell>
          <cell r="E255">
            <v>1</v>
          </cell>
          <cell r="F255">
            <v>2</v>
          </cell>
          <cell r="G255" t="str">
            <v>América</v>
          </cell>
          <cell r="H255">
            <v>35.049999999999997</v>
          </cell>
          <cell r="I255">
            <v>3.5</v>
          </cell>
          <cell r="J255">
            <v>10.51</v>
          </cell>
          <cell r="K255">
            <v>10.51</v>
          </cell>
          <cell r="L255">
            <v>10.51</v>
          </cell>
          <cell r="M255">
            <v>0.29411764705882354</v>
          </cell>
          <cell r="N255">
            <v>0.47058823529411764</v>
          </cell>
          <cell r="O255">
            <v>0.23529411764705882</v>
          </cell>
          <cell r="P255">
            <v>40</v>
          </cell>
          <cell r="Q255">
            <v>84.2</v>
          </cell>
          <cell r="R255">
            <v>8.42</v>
          </cell>
          <cell r="S255">
            <v>25.26</v>
          </cell>
          <cell r="T255">
            <v>25.26</v>
          </cell>
          <cell r="U255">
            <v>25.26</v>
          </cell>
          <cell r="V255">
            <v>0.375</v>
          </cell>
          <cell r="W255">
            <v>0.29166666666666669</v>
          </cell>
          <cell r="X255">
            <v>0.33333333333333331</v>
          </cell>
          <cell r="Y255">
            <v>133</v>
          </cell>
        </row>
        <row r="256">
          <cell r="A256" t="str">
            <v>2023-Mazatlán</v>
          </cell>
          <cell r="B256" t="str">
            <v>2023-Tigres</v>
          </cell>
          <cell r="C256">
            <v>2023</v>
          </cell>
          <cell r="D256" t="str">
            <v>Mazatlán</v>
          </cell>
          <cell r="E256">
            <v>2</v>
          </cell>
          <cell r="F256">
            <v>3</v>
          </cell>
          <cell r="G256" t="str">
            <v>Tigres</v>
          </cell>
          <cell r="H256">
            <v>35.049999999999997</v>
          </cell>
          <cell r="I256">
            <v>3.5</v>
          </cell>
          <cell r="J256">
            <v>10.51</v>
          </cell>
          <cell r="K256">
            <v>10.51</v>
          </cell>
          <cell r="L256">
            <v>10.51</v>
          </cell>
          <cell r="M256">
            <v>0.29411764705882354</v>
          </cell>
          <cell r="N256">
            <v>0.47058823529411764</v>
          </cell>
          <cell r="O256">
            <v>0.23529411764705882</v>
          </cell>
          <cell r="P256">
            <v>40</v>
          </cell>
          <cell r="Q256" t="str">
            <v>NULL</v>
          </cell>
          <cell r="R256" t="str">
            <v>NULL</v>
          </cell>
          <cell r="S256" t="str">
            <v>NULL</v>
          </cell>
          <cell r="T256" t="str">
            <v>NULL</v>
          </cell>
          <cell r="U256" t="str">
            <v>NULL</v>
          </cell>
          <cell r="V256">
            <v>0.3</v>
          </cell>
          <cell r="W256">
            <v>0.3</v>
          </cell>
          <cell r="X256">
            <v>0.4</v>
          </cell>
          <cell r="Y256">
            <v>107</v>
          </cell>
        </row>
        <row r="257">
          <cell r="A257" t="str">
            <v>2023-Chivas</v>
          </cell>
          <cell r="B257" t="str">
            <v>2023-Mazatlán</v>
          </cell>
          <cell r="C257">
            <v>2023</v>
          </cell>
          <cell r="D257" t="str">
            <v>Chivas</v>
          </cell>
          <cell r="E257">
            <v>1</v>
          </cell>
          <cell r="F257">
            <v>3</v>
          </cell>
          <cell r="G257" t="str">
            <v>Mazatlán</v>
          </cell>
          <cell r="H257">
            <v>69.7</v>
          </cell>
          <cell r="I257">
            <v>6.97</v>
          </cell>
          <cell r="J257">
            <v>20.91</v>
          </cell>
          <cell r="K257">
            <v>20.91</v>
          </cell>
          <cell r="L257">
            <v>20.91</v>
          </cell>
          <cell r="M257">
            <v>0.44444444444444442</v>
          </cell>
          <cell r="N257">
            <v>0.33333333333333331</v>
          </cell>
          <cell r="O257">
            <v>0.22222222222222221</v>
          </cell>
          <cell r="P257">
            <v>99</v>
          </cell>
          <cell r="Q257">
            <v>35.049999999999997</v>
          </cell>
          <cell r="R257">
            <v>3.5</v>
          </cell>
          <cell r="S257">
            <v>10.51</v>
          </cell>
          <cell r="T257">
            <v>10.51</v>
          </cell>
          <cell r="U257">
            <v>10.51</v>
          </cell>
          <cell r="V257">
            <v>5.8823529411764705E-2</v>
          </cell>
          <cell r="W257">
            <v>0.29411764705882354</v>
          </cell>
          <cell r="X257">
            <v>0.6470588235294118</v>
          </cell>
          <cell r="Y257">
            <v>40</v>
          </cell>
        </row>
        <row r="258">
          <cell r="A258" t="str">
            <v>2023-Atlético San Luis</v>
          </cell>
          <cell r="B258" t="str">
            <v>2023-Mazatlán</v>
          </cell>
          <cell r="C258">
            <v>2023</v>
          </cell>
          <cell r="D258" t="str">
            <v>Atlético San Luis</v>
          </cell>
          <cell r="E258">
            <v>3</v>
          </cell>
          <cell r="F258">
            <v>2</v>
          </cell>
          <cell r="G258" t="str">
            <v>Mazatlán</v>
          </cell>
          <cell r="H258">
            <v>35.85</v>
          </cell>
          <cell r="I258">
            <v>3.59</v>
          </cell>
          <cell r="J258">
            <v>10.77</v>
          </cell>
          <cell r="K258">
            <v>10.77</v>
          </cell>
          <cell r="L258">
            <v>10.77</v>
          </cell>
          <cell r="M258">
            <v>0.68421052631578949</v>
          </cell>
          <cell r="N258">
            <v>5.2631578947368418E-2</v>
          </cell>
          <cell r="O258">
            <v>0.26315789473684209</v>
          </cell>
          <cell r="P258">
            <v>59</v>
          </cell>
          <cell r="Q258">
            <v>35.049999999999997</v>
          </cell>
          <cell r="R258">
            <v>3.5</v>
          </cell>
          <cell r="S258">
            <v>10.51</v>
          </cell>
          <cell r="T258">
            <v>10.51</v>
          </cell>
          <cell r="U258">
            <v>10.51</v>
          </cell>
          <cell r="V258">
            <v>5.8823529411764705E-2</v>
          </cell>
          <cell r="W258">
            <v>0.29411764705882354</v>
          </cell>
          <cell r="X258">
            <v>0.6470588235294118</v>
          </cell>
          <cell r="Y258">
            <v>40</v>
          </cell>
        </row>
        <row r="259">
          <cell r="A259" t="str">
            <v>2023-Mazatlán</v>
          </cell>
          <cell r="B259" t="str">
            <v>2023-Cruz Azul</v>
          </cell>
          <cell r="C259">
            <v>2023</v>
          </cell>
          <cell r="D259" t="str">
            <v>Mazatlán</v>
          </cell>
          <cell r="E259">
            <v>2</v>
          </cell>
          <cell r="F259">
            <v>2</v>
          </cell>
          <cell r="G259" t="str">
            <v>Cruz Azul</v>
          </cell>
          <cell r="H259">
            <v>35.049999999999997</v>
          </cell>
          <cell r="I259">
            <v>3.5</v>
          </cell>
          <cell r="J259">
            <v>10.51</v>
          </cell>
          <cell r="K259">
            <v>10.51</v>
          </cell>
          <cell r="L259">
            <v>10.51</v>
          </cell>
          <cell r="M259">
            <v>0.29411764705882354</v>
          </cell>
          <cell r="N259">
            <v>0.47058823529411764</v>
          </cell>
          <cell r="O259">
            <v>0.23529411764705882</v>
          </cell>
          <cell r="P259">
            <v>40</v>
          </cell>
          <cell r="Q259">
            <v>72.2</v>
          </cell>
          <cell r="R259">
            <v>7.22</v>
          </cell>
          <cell r="S259">
            <v>21.66</v>
          </cell>
          <cell r="T259">
            <v>21.66</v>
          </cell>
          <cell r="U259">
            <v>21.66</v>
          </cell>
          <cell r="V259">
            <v>0.52380952380952384</v>
          </cell>
          <cell r="W259">
            <v>0.23809523809523808</v>
          </cell>
          <cell r="X259">
            <v>0.23809523809523808</v>
          </cell>
          <cell r="Y259">
            <v>107</v>
          </cell>
        </row>
        <row r="260">
          <cell r="A260" t="str">
            <v>2023-Juarez</v>
          </cell>
          <cell r="B260" t="str">
            <v>2023-Mazatlán</v>
          </cell>
          <cell r="C260">
            <v>2023</v>
          </cell>
          <cell r="D260" t="str">
            <v>Juarez</v>
          </cell>
          <cell r="E260">
            <v>3</v>
          </cell>
          <cell r="F260">
            <v>1</v>
          </cell>
          <cell r="G260" t="str">
            <v>Mazatlán</v>
          </cell>
          <cell r="H260" t="str">
            <v>NULL</v>
          </cell>
          <cell r="I260" t="str">
            <v>NULL</v>
          </cell>
          <cell r="J260" t="str">
            <v>NULL</v>
          </cell>
          <cell r="K260" t="str">
            <v>NULL</v>
          </cell>
          <cell r="L260" t="str">
            <v>NULL</v>
          </cell>
          <cell r="M260">
            <v>0.27777777777777779</v>
          </cell>
          <cell r="N260">
            <v>0.33333333333333331</v>
          </cell>
          <cell r="O260">
            <v>0.3888888888888889</v>
          </cell>
          <cell r="P260">
            <v>55</v>
          </cell>
          <cell r="Q260">
            <v>35.049999999999997</v>
          </cell>
          <cell r="R260">
            <v>3.5</v>
          </cell>
          <cell r="S260">
            <v>10.51</v>
          </cell>
          <cell r="T260">
            <v>10.51</v>
          </cell>
          <cell r="U260">
            <v>10.51</v>
          </cell>
          <cell r="V260">
            <v>5.8823529411764705E-2</v>
          </cell>
          <cell r="W260">
            <v>0.29411764705882354</v>
          </cell>
          <cell r="X260">
            <v>0.6470588235294118</v>
          </cell>
          <cell r="Y260">
            <v>40</v>
          </cell>
        </row>
        <row r="261">
          <cell r="A261" t="str">
            <v>2023-Xolos</v>
          </cell>
          <cell r="B261" t="str">
            <v>2023-Mazatlán</v>
          </cell>
          <cell r="C261">
            <v>2023</v>
          </cell>
          <cell r="D261" t="str">
            <v>Xolos</v>
          </cell>
          <cell r="E261">
            <v>1</v>
          </cell>
          <cell r="F261">
            <v>1</v>
          </cell>
          <cell r="G261" t="str">
            <v>Mazatlán</v>
          </cell>
          <cell r="H261">
            <v>38.299999999999997</v>
          </cell>
          <cell r="I261">
            <v>3.83</v>
          </cell>
          <cell r="J261">
            <v>11.49</v>
          </cell>
          <cell r="K261">
            <v>11.49</v>
          </cell>
          <cell r="L261">
            <v>11.49</v>
          </cell>
          <cell r="M261">
            <v>0.55000000000000004</v>
          </cell>
          <cell r="N261">
            <v>0.15</v>
          </cell>
          <cell r="O261">
            <v>0.3</v>
          </cell>
          <cell r="P261">
            <v>49</v>
          </cell>
          <cell r="Q261">
            <v>35.049999999999997</v>
          </cell>
          <cell r="R261">
            <v>3.5</v>
          </cell>
          <cell r="S261">
            <v>10.51</v>
          </cell>
          <cell r="T261">
            <v>10.51</v>
          </cell>
          <cell r="U261">
            <v>10.51</v>
          </cell>
          <cell r="V261">
            <v>5.8823529411764705E-2</v>
          </cell>
          <cell r="W261">
            <v>0.29411764705882354</v>
          </cell>
          <cell r="X261">
            <v>0.6470588235294118</v>
          </cell>
          <cell r="Y261">
            <v>40</v>
          </cell>
        </row>
        <row r="262">
          <cell r="A262" t="str">
            <v>2023-León</v>
          </cell>
          <cell r="B262" t="str">
            <v>2023-Mazatlán</v>
          </cell>
          <cell r="C262">
            <v>2023</v>
          </cell>
          <cell r="D262" t="str">
            <v>León</v>
          </cell>
          <cell r="E262">
            <v>2</v>
          </cell>
          <cell r="F262">
            <v>1</v>
          </cell>
          <cell r="G262" t="str">
            <v>Mazatlán</v>
          </cell>
          <cell r="H262">
            <v>41.5</v>
          </cell>
          <cell r="I262">
            <v>4.1500000000000004</v>
          </cell>
          <cell r="J262">
            <v>12.45</v>
          </cell>
          <cell r="K262">
            <v>12.45</v>
          </cell>
          <cell r="L262">
            <v>12.45</v>
          </cell>
          <cell r="M262">
            <v>0.3888888888888889</v>
          </cell>
          <cell r="N262">
            <v>0.3888888888888889</v>
          </cell>
          <cell r="O262">
            <v>0.22222222222222221</v>
          </cell>
          <cell r="P262">
            <v>87</v>
          </cell>
          <cell r="Q262">
            <v>35.049999999999997</v>
          </cell>
          <cell r="R262">
            <v>3.5</v>
          </cell>
          <cell r="S262">
            <v>10.51</v>
          </cell>
          <cell r="T262">
            <v>10.51</v>
          </cell>
          <cell r="U262">
            <v>10.51</v>
          </cell>
          <cell r="V262">
            <v>5.8823529411764705E-2</v>
          </cell>
          <cell r="W262">
            <v>0.29411764705882354</v>
          </cell>
          <cell r="X262">
            <v>0.6470588235294118</v>
          </cell>
          <cell r="Y262">
            <v>40</v>
          </cell>
        </row>
        <row r="263">
          <cell r="A263" t="str">
            <v>2023-Pumas</v>
          </cell>
          <cell r="B263" t="str">
            <v>2023-Mazatlán</v>
          </cell>
          <cell r="C263">
            <v>2023</v>
          </cell>
          <cell r="D263" t="str">
            <v>Pumas</v>
          </cell>
          <cell r="E263">
            <v>0</v>
          </cell>
          <cell r="F263">
            <v>0</v>
          </cell>
          <cell r="G263" t="str">
            <v>Mazatlán</v>
          </cell>
          <cell r="H263" t="str">
            <v>NULL</v>
          </cell>
          <cell r="I263" t="str">
            <v>NULL</v>
          </cell>
          <cell r="J263" t="str">
            <v>NULL</v>
          </cell>
          <cell r="K263" t="str">
            <v>NULL</v>
          </cell>
          <cell r="L263" t="str">
            <v>NULL</v>
          </cell>
          <cell r="M263">
            <v>0.5</v>
          </cell>
          <cell r="N263">
            <v>0.16666666666666666</v>
          </cell>
          <cell r="O263">
            <v>0.33333333333333331</v>
          </cell>
          <cell r="P263">
            <v>75</v>
          </cell>
          <cell r="Q263">
            <v>35.049999999999997</v>
          </cell>
          <cell r="R263">
            <v>3.5</v>
          </cell>
          <cell r="S263">
            <v>10.51</v>
          </cell>
          <cell r="T263">
            <v>10.51</v>
          </cell>
          <cell r="U263">
            <v>10.51</v>
          </cell>
          <cell r="V263">
            <v>5.8823529411764705E-2</v>
          </cell>
          <cell r="W263">
            <v>0.29411764705882354</v>
          </cell>
          <cell r="X263">
            <v>0.6470588235294118</v>
          </cell>
          <cell r="Y263">
            <v>40</v>
          </cell>
        </row>
        <row r="264">
          <cell r="A264" t="str">
            <v>2023-Mazatlán</v>
          </cell>
          <cell r="B264" t="str">
            <v>2023-Pachuca</v>
          </cell>
          <cell r="C264">
            <v>2023</v>
          </cell>
          <cell r="D264" t="str">
            <v>Mazatlán</v>
          </cell>
          <cell r="E264">
            <v>1</v>
          </cell>
          <cell r="F264">
            <v>1</v>
          </cell>
          <cell r="G264" t="str">
            <v>Pachuca</v>
          </cell>
          <cell r="H264">
            <v>35.049999999999997</v>
          </cell>
          <cell r="I264">
            <v>3.5</v>
          </cell>
          <cell r="J264">
            <v>10.51</v>
          </cell>
          <cell r="K264">
            <v>10.51</v>
          </cell>
          <cell r="L264">
            <v>10.51</v>
          </cell>
          <cell r="M264">
            <v>0.29411764705882354</v>
          </cell>
          <cell r="N264">
            <v>0.47058823529411764</v>
          </cell>
          <cell r="O264">
            <v>0.23529411764705882</v>
          </cell>
          <cell r="P264">
            <v>40</v>
          </cell>
          <cell r="Q264">
            <v>51.25</v>
          </cell>
          <cell r="R264">
            <v>5.13</v>
          </cell>
          <cell r="S264">
            <v>15.38</v>
          </cell>
          <cell r="T264">
            <v>15.38</v>
          </cell>
          <cell r="U264">
            <v>15.38</v>
          </cell>
          <cell r="V264">
            <v>0.26315789473684209</v>
          </cell>
          <cell r="W264">
            <v>0.15789473684210525</v>
          </cell>
          <cell r="X264">
            <v>0.57894736842105265</v>
          </cell>
          <cell r="Y264">
            <v>98</v>
          </cell>
        </row>
        <row r="265">
          <cell r="A265" t="str">
            <v>2024-Cruz Azul</v>
          </cell>
          <cell r="B265" t="str">
            <v>2024-Monterrey</v>
          </cell>
          <cell r="C265">
            <v>2024</v>
          </cell>
          <cell r="D265" t="str">
            <v>Cruz Azul</v>
          </cell>
          <cell r="E265">
            <v>1</v>
          </cell>
          <cell r="F265">
            <v>2</v>
          </cell>
          <cell r="G265" t="str">
            <v>Monterrey</v>
          </cell>
          <cell r="H265">
            <v>78.849999999999994</v>
          </cell>
          <cell r="I265">
            <v>7.89</v>
          </cell>
          <cell r="J265">
            <v>23.66</v>
          </cell>
          <cell r="K265">
            <v>23.66</v>
          </cell>
          <cell r="L265">
            <v>23.66</v>
          </cell>
          <cell r="M265">
            <v>0.7142857142857143</v>
          </cell>
          <cell r="N265">
            <v>0.23809523809523808</v>
          </cell>
          <cell r="O265">
            <v>4.7619047619047616E-2</v>
          </cell>
          <cell r="P265">
            <v>107</v>
          </cell>
          <cell r="Q265">
            <v>88.6</v>
          </cell>
          <cell r="R265">
            <v>8.86</v>
          </cell>
          <cell r="S265">
            <v>26.58</v>
          </cell>
          <cell r="T265">
            <v>26.58</v>
          </cell>
          <cell r="U265">
            <v>26.58</v>
          </cell>
          <cell r="V265">
            <v>0.38095238095238093</v>
          </cell>
          <cell r="W265">
            <v>0.23809523809523808</v>
          </cell>
          <cell r="X265">
            <v>0.38095238095238093</v>
          </cell>
          <cell r="Y265">
            <v>118</v>
          </cell>
        </row>
        <row r="266">
          <cell r="A266" t="str">
            <v>2024-Monterrey</v>
          </cell>
          <cell r="B266" t="str">
            <v>2024-Cruz Azul</v>
          </cell>
          <cell r="C266">
            <v>2024</v>
          </cell>
          <cell r="D266" t="str">
            <v>Monterrey</v>
          </cell>
          <cell r="E266">
            <v>0</v>
          </cell>
          <cell r="F266">
            <v>1</v>
          </cell>
          <cell r="G266" t="str">
            <v>Cruz Azul</v>
          </cell>
          <cell r="H266">
            <v>88.6</v>
          </cell>
          <cell r="I266">
            <v>8.86</v>
          </cell>
          <cell r="J266">
            <v>26.58</v>
          </cell>
          <cell r="K266">
            <v>26.58</v>
          </cell>
          <cell r="L266">
            <v>26.58</v>
          </cell>
          <cell r="M266">
            <v>0.60869565217391308</v>
          </cell>
          <cell r="N266">
            <v>0.17391304347826086</v>
          </cell>
          <cell r="O266">
            <v>0.21739130434782608</v>
          </cell>
          <cell r="P266">
            <v>118</v>
          </cell>
          <cell r="Q266">
            <v>78.849999999999994</v>
          </cell>
          <cell r="R266">
            <v>7.89</v>
          </cell>
          <cell r="S266">
            <v>23.66</v>
          </cell>
          <cell r="T266">
            <v>23.66</v>
          </cell>
          <cell r="U266">
            <v>23.66</v>
          </cell>
          <cell r="V266">
            <v>0.52380952380952384</v>
          </cell>
          <cell r="W266">
            <v>0.23809523809523808</v>
          </cell>
          <cell r="X266">
            <v>0.23809523809523808</v>
          </cell>
          <cell r="Y266">
            <v>107</v>
          </cell>
        </row>
        <row r="267">
          <cell r="A267" t="str">
            <v>2024-Monterrey</v>
          </cell>
          <cell r="B267" t="str">
            <v>2024-Tigres</v>
          </cell>
          <cell r="C267">
            <v>2024</v>
          </cell>
          <cell r="D267" t="str">
            <v>Monterrey</v>
          </cell>
          <cell r="E267">
            <v>1</v>
          </cell>
          <cell r="F267">
            <v>1</v>
          </cell>
          <cell r="G267" t="str">
            <v>Tigres</v>
          </cell>
          <cell r="H267">
            <v>88.6</v>
          </cell>
          <cell r="I267">
            <v>8.86</v>
          </cell>
          <cell r="J267">
            <v>26.58</v>
          </cell>
          <cell r="K267">
            <v>26.58</v>
          </cell>
          <cell r="L267">
            <v>26.58</v>
          </cell>
          <cell r="M267">
            <v>0.60869565217391308</v>
          </cell>
          <cell r="N267">
            <v>0.17391304347826086</v>
          </cell>
          <cell r="O267">
            <v>0.21739130434782608</v>
          </cell>
          <cell r="P267">
            <v>118</v>
          </cell>
          <cell r="Q267" t="str">
            <v>NULL</v>
          </cell>
          <cell r="R267" t="str">
            <v>NULL</v>
          </cell>
          <cell r="S267" t="str">
            <v>NULL</v>
          </cell>
          <cell r="T267" t="str">
            <v>NULL</v>
          </cell>
          <cell r="U267" t="str">
            <v>NULL</v>
          </cell>
          <cell r="V267">
            <v>0.3</v>
          </cell>
          <cell r="W267">
            <v>0.3</v>
          </cell>
          <cell r="X267">
            <v>0.4</v>
          </cell>
          <cell r="Y267">
            <v>107</v>
          </cell>
        </row>
        <row r="268">
          <cell r="A268" t="str">
            <v>2024-Tigres</v>
          </cell>
          <cell r="B268" t="str">
            <v>2024-Monterrey</v>
          </cell>
          <cell r="C268">
            <v>2024</v>
          </cell>
          <cell r="D268" t="str">
            <v>Tigres</v>
          </cell>
          <cell r="E268">
            <v>1</v>
          </cell>
          <cell r="F268">
            <v>2</v>
          </cell>
          <cell r="G268" t="str">
            <v>Monterrey</v>
          </cell>
          <cell r="H268">
            <v>67</v>
          </cell>
          <cell r="I268">
            <v>6.7</v>
          </cell>
          <cell r="J268">
            <v>20.100000000000001</v>
          </cell>
          <cell r="K268">
            <v>20.100000000000001</v>
          </cell>
          <cell r="L268">
            <v>20.100000000000001</v>
          </cell>
          <cell r="M268">
            <v>0.7</v>
          </cell>
          <cell r="N268">
            <v>0.25</v>
          </cell>
          <cell r="O268">
            <v>0.05</v>
          </cell>
          <cell r="P268">
            <v>107</v>
          </cell>
          <cell r="Q268">
            <v>88.6</v>
          </cell>
          <cell r="R268">
            <v>8.86</v>
          </cell>
          <cell r="S268">
            <v>26.58</v>
          </cell>
          <cell r="T268">
            <v>26.58</v>
          </cell>
          <cell r="U268">
            <v>26.58</v>
          </cell>
          <cell r="V268">
            <v>0.38095238095238093</v>
          </cell>
          <cell r="W268">
            <v>0.23809523809523808</v>
          </cell>
          <cell r="X268">
            <v>0.38095238095238093</v>
          </cell>
          <cell r="Y268">
            <v>118</v>
          </cell>
        </row>
        <row r="269">
          <cell r="A269" t="str">
            <v>2024-León</v>
          </cell>
          <cell r="B269" t="str">
            <v>2024-Monterrey</v>
          </cell>
          <cell r="C269">
            <v>2024</v>
          </cell>
          <cell r="D269" t="str">
            <v>León</v>
          </cell>
          <cell r="E269">
            <v>2</v>
          </cell>
          <cell r="F269">
            <v>0</v>
          </cell>
          <cell r="G269" t="str">
            <v>Monterrey</v>
          </cell>
          <cell r="H269">
            <v>29.55</v>
          </cell>
          <cell r="I269">
            <v>2.96</v>
          </cell>
          <cell r="J269">
            <v>8.8699999999999992</v>
          </cell>
          <cell r="K269">
            <v>8.8699999999999992</v>
          </cell>
          <cell r="L269">
            <v>8.8699999999999992</v>
          </cell>
          <cell r="M269">
            <v>0.3888888888888889</v>
          </cell>
          <cell r="N269">
            <v>0.3888888888888889</v>
          </cell>
          <cell r="O269">
            <v>0.22222222222222221</v>
          </cell>
          <cell r="P269">
            <v>87</v>
          </cell>
          <cell r="Q269">
            <v>88.6</v>
          </cell>
          <cell r="R269">
            <v>8.86</v>
          </cell>
          <cell r="S269">
            <v>26.58</v>
          </cell>
          <cell r="T269">
            <v>26.58</v>
          </cell>
          <cell r="U269">
            <v>26.58</v>
          </cell>
          <cell r="V269">
            <v>0.38095238095238093</v>
          </cell>
          <cell r="W269">
            <v>0.23809523809523808</v>
          </cell>
          <cell r="X269">
            <v>0.38095238095238093</v>
          </cell>
          <cell r="Y269">
            <v>118</v>
          </cell>
        </row>
        <row r="270">
          <cell r="A270" t="str">
            <v>2024-Monterrey</v>
          </cell>
          <cell r="B270" t="str">
            <v>2024-Tigres</v>
          </cell>
          <cell r="C270">
            <v>2024</v>
          </cell>
          <cell r="D270" t="str">
            <v>Monterrey</v>
          </cell>
          <cell r="E270">
            <v>3</v>
          </cell>
          <cell r="F270">
            <v>3</v>
          </cell>
          <cell r="G270" t="str">
            <v>Tigres</v>
          </cell>
          <cell r="H270">
            <v>88.6</v>
          </cell>
          <cell r="I270">
            <v>8.86</v>
          </cell>
          <cell r="J270">
            <v>26.58</v>
          </cell>
          <cell r="K270">
            <v>26.58</v>
          </cell>
          <cell r="L270">
            <v>26.58</v>
          </cell>
          <cell r="M270">
            <v>0.60869565217391308</v>
          </cell>
          <cell r="N270">
            <v>0.17391304347826086</v>
          </cell>
          <cell r="O270">
            <v>0.21739130434782608</v>
          </cell>
          <cell r="P270">
            <v>118</v>
          </cell>
          <cell r="Q270" t="str">
            <v>NULL</v>
          </cell>
          <cell r="R270" t="str">
            <v>NULL</v>
          </cell>
          <cell r="S270" t="str">
            <v>NULL</v>
          </cell>
          <cell r="T270" t="str">
            <v>NULL</v>
          </cell>
          <cell r="U270" t="str">
            <v>NULL</v>
          </cell>
          <cell r="V270">
            <v>0.3</v>
          </cell>
          <cell r="W270">
            <v>0.3</v>
          </cell>
          <cell r="X270">
            <v>0.4</v>
          </cell>
          <cell r="Y270">
            <v>107</v>
          </cell>
        </row>
        <row r="271">
          <cell r="A271" t="str">
            <v>2024-Cruz Azul</v>
          </cell>
          <cell r="B271" t="str">
            <v>2024-Monterrey</v>
          </cell>
          <cell r="C271">
            <v>2024</v>
          </cell>
          <cell r="D271" t="str">
            <v>Cruz Azul</v>
          </cell>
          <cell r="E271">
            <v>2</v>
          </cell>
          <cell r="F271">
            <v>1</v>
          </cell>
          <cell r="G271" t="str">
            <v>Monterrey</v>
          </cell>
          <cell r="H271">
            <v>78.849999999999994</v>
          </cell>
          <cell r="I271">
            <v>7.89</v>
          </cell>
          <cell r="J271">
            <v>23.66</v>
          </cell>
          <cell r="K271">
            <v>23.66</v>
          </cell>
          <cell r="L271">
            <v>23.66</v>
          </cell>
          <cell r="M271">
            <v>0.7142857142857143</v>
          </cell>
          <cell r="N271">
            <v>0.23809523809523808</v>
          </cell>
          <cell r="O271">
            <v>4.7619047619047616E-2</v>
          </cell>
          <cell r="P271">
            <v>107</v>
          </cell>
          <cell r="Q271">
            <v>88.6</v>
          </cell>
          <cell r="R271">
            <v>8.86</v>
          </cell>
          <cell r="S271">
            <v>26.58</v>
          </cell>
          <cell r="T271">
            <v>26.58</v>
          </cell>
          <cell r="U271">
            <v>26.58</v>
          </cell>
          <cell r="V271">
            <v>0.38095238095238093</v>
          </cell>
          <cell r="W271">
            <v>0.23809523809523808</v>
          </cell>
          <cell r="X271">
            <v>0.38095238095238093</v>
          </cell>
          <cell r="Y271">
            <v>118</v>
          </cell>
        </row>
        <row r="272">
          <cell r="A272" t="str">
            <v>2024-Monterrey</v>
          </cell>
          <cell r="B272" t="str">
            <v>2024-Mazatlán</v>
          </cell>
          <cell r="C272">
            <v>2024</v>
          </cell>
          <cell r="D272" t="str">
            <v>Monterrey</v>
          </cell>
          <cell r="E272">
            <v>2</v>
          </cell>
          <cell r="F272">
            <v>1</v>
          </cell>
          <cell r="G272" t="str">
            <v>Mazatlán</v>
          </cell>
          <cell r="H272">
            <v>88.6</v>
          </cell>
          <cell r="I272">
            <v>8.86</v>
          </cell>
          <cell r="J272">
            <v>26.58</v>
          </cell>
          <cell r="K272">
            <v>26.58</v>
          </cell>
          <cell r="L272">
            <v>26.58</v>
          </cell>
          <cell r="M272">
            <v>0.60869565217391308</v>
          </cell>
          <cell r="N272">
            <v>0.17391304347826086</v>
          </cell>
          <cell r="O272">
            <v>0.21739130434782608</v>
          </cell>
          <cell r="P272">
            <v>118</v>
          </cell>
          <cell r="Q272">
            <v>31.45</v>
          </cell>
          <cell r="R272">
            <v>3.15</v>
          </cell>
          <cell r="S272">
            <v>9.44</v>
          </cell>
          <cell r="T272">
            <v>9.44</v>
          </cell>
          <cell r="U272">
            <v>9.44</v>
          </cell>
          <cell r="V272">
            <v>5.8823529411764705E-2</v>
          </cell>
          <cell r="W272">
            <v>0.29411764705882354</v>
          </cell>
          <cell r="X272">
            <v>0.6470588235294118</v>
          </cell>
          <cell r="Y272">
            <v>40</v>
          </cell>
        </row>
        <row r="273">
          <cell r="A273" t="str">
            <v>2024-Monterrey</v>
          </cell>
          <cell r="B273" t="str">
            <v>2024-Pumas</v>
          </cell>
          <cell r="C273">
            <v>2024</v>
          </cell>
          <cell r="D273" t="str">
            <v>Monterrey</v>
          </cell>
          <cell r="E273">
            <v>3</v>
          </cell>
          <cell r="F273">
            <v>0</v>
          </cell>
          <cell r="G273" t="str">
            <v>Pumas</v>
          </cell>
          <cell r="H273">
            <v>88.6</v>
          </cell>
          <cell r="I273">
            <v>8.86</v>
          </cell>
          <cell r="J273">
            <v>26.58</v>
          </cell>
          <cell r="K273">
            <v>26.58</v>
          </cell>
          <cell r="L273">
            <v>26.58</v>
          </cell>
          <cell r="M273">
            <v>0.60869565217391308</v>
          </cell>
          <cell r="N273">
            <v>0.17391304347826086</v>
          </cell>
          <cell r="O273">
            <v>0.21739130434782608</v>
          </cell>
          <cell r="P273">
            <v>118</v>
          </cell>
          <cell r="Q273">
            <v>47.6</v>
          </cell>
          <cell r="R273">
            <v>4.76</v>
          </cell>
          <cell r="S273">
            <v>14.28</v>
          </cell>
          <cell r="T273">
            <v>14.28</v>
          </cell>
          <cell r="U273">
            <v>14.28</v>
          </cell>
          <cell r="V273">
            <v>0.3</v>
          </cell>
          <cell r="W273">
            <v>0.25</v>
          </cell>
          <cell r="X273">
            <v>0.45</v>
          </cell>
          <cell r="Y273">
            <v>75</v>
          </cell>
        </row>
        <row r="274">
          <cell r="A274" t="str">
            <v>2024-Xolos</v>
          </cell>
          <cell r="B274" t="str">
            <v>2024-Monterrey</v>
          </cell>
          <cell r="C274">
            <v>2024</v>
          </cell>
          <cell r="D274" t="str">
            <v>Xolos</v>
          </cell>
          <cell r="E274">
            <v>1</v>
          </cell>
          <cell r="F274">
            <v>1</v>
          </cell>
          <cell r="G274" t="str">
            <v>Monterrey</v>
          </cell>
          <cell r="H274" t="str">
            <v>NULL</v>
          </cell>
          <cell r="I274" t="str">
            <v>NULL</v>
          </cell>
          <cell r="J274" t="str">
            <v>NULL</v>
          </cell>
          <cell r="K274" t="str">
            <v>NULL</v>
          </cell>
          <cell r="L274" t="str">
            <v>NULL</v>
          </cell>
          <cell r="M274">
            <v>0.55000000000000004</v>
          </cell>
          <cell r="N274">
            <v>0.15</v>
          </cell>
          <cell r="O274">
            <v>0.3</v>
          </cell>
          <cell r="P274">
            <v>49</v>
          </cell>
          <cell r="Q274">
            <v>88.6</v>
          </cell>
          <cell r="R274">
            <v>8.86</v>
          </cell>
          <cell r="S274">
            <v>26.58</v>
          </cell>
          <cell r="T274">
            <v>26.58</v>
          </cell>
          <cell r="U274">
            <v>26.58</v>
          </cell>
          <cell r="V274">
            <v>0.38095238095238093</v>
          </cell>
          <cell r="W274">
            <v>0.23809523809523808</v>
          </cell>
          <cell r="X274">
            <v>0.38095238095238093</v>
          </cell>
          <cell r="Y274">
            <v>118</v>
          </cell>
        </row>
        <row r="275">
          <cell r="A275" t="str">
            <v>2024-Juarez</v>
          </cell>
          <cell r="B275" t="str">
            <v>2024-Monterrey</v>
          </cell>
          <cell r="C275">
            <v>2024</v>
          </cell>
          <cell r="D275" t="str">
            <v>Juarez</v>
          </cell>
          <cell r="E275">
            <v>0</v>
          </cell>
          <cell r="F275">
            <v>3</v>
          </cell>
          <cell r="G275" t="str">
            <v>Monterrey</v>
          </cell>
          <cell r="H275" t="str">
            <v>NULL</v>
          </cell>
          <cell r="I275" t="str">
            <v>NULL</v>
          </cell>
          <cell r="J275" t="str">
            <v>NULL</v>
          </cell>
          <cell r="K275" t="str">
            <v>NULL</v>
          </cell>
          <cell r="L275" t="str">
            <v>NULL</v>
          </cell>
          <cell r="M275">
            <v>0.27777777777777779</v>
          </cell>
          <cell r="N275">
            <v>0.33333333333333331</v>
          </cell>
          <cell r="O275">
            <v>0.3888888888888889</v>
          </cell>
          <cell r="P275">
            <v>55</v>
          </cell>
          <cell r="Q275">
            <v>88.6</v>
          </cell>
          <cell r="R275">
            <v>8.86</v>
          </cell>
          <cell r="S275">
            <v>26.58</v>
          </cell>
          <cell r="T275">
            <v>26.58</v>
          </cell>
          <cell r="U275">
            <v>26.58</v>
          </cell>
          <cell r="V275">
            <v>0.38095238095238093</v>
          </cell>
          <cell r="W275">
            <v>0.23809523809523808</v>
          </cell>
          <cell r="X275">
            <v>0.38095238095238093</v>
          </cell>
          <cell r="Y275">
            <v>118</v>
          </cell>
        </row>
        <row r="276">
          <cell r="A276" t="str">
            <v>2024-Monterrey</v>
          </cell>
          <cell r="B276" t="str">
            <v>2024-Toluca</v>
          </cell>
          <cell r="C276">
            <v>2024</v>
          </cell>
          <cell r="D276" t="str">
            <v>Monterrey</v>
          </cell>
          <cell r="E276">
            <v>0</v>
          </cell>
          <cell r="F276">
            <v>0</v>
          </cell>
          <cell r="G276" t="str">
            <v>Toluca</v>
          </cell>
          <cell r="H276">
            <v>88.6</v>
          </cell>
          <cell r="I276">
            <v>8.86</v>
          </cell>
          <cell r="J276">
            <v>26.58</v>
          </cell>
          <cell r="K276">
            <v>26.58</v>
          </cell>
          <cell r="L276">
            <v>26.58</v>
          </cell>
          <cell r="M276">
            <v>0.60869565217391308</v>
          </cell>
          <cell r="N276">
            <v>0.17391304347826086</v>
          </cell>
          <cell r="O276">
            <v>0.21739130434782608</v>
          </cell>
          <cell r="P276">
            <v>118</v>
          </cell>
          <cell r="Q276">
            <v>77.45</v>
          </cell>
          <cell r="R276">
            <v>7.75</v>
          </cell>
          <cell r="S276">
            <v>23.24</v>
          </cell>
          <cell r="T276">
            <v>23.24</v>
          </cell>
          <cell r="U276">
            <v>23.24</v>
          </cell>
          <cell r="V276">
            <v>0.38095238095238093</v>
          </cell>
          <cell r="W276">
            <v>0.33333333333333331</v>
          </cell>
          <cell r="X276">
            <v>0.2857142857142857</v>
          </cell>
          <cell r="Y276">
            <v>118</v>
          </cell>
        </row>
        <row r="277">
          <cell r="A277" t="str">
            <v>2024-Monterrey</v>
          </cell>
          <cell r="B277" t="str">
            <v>2024-Pachuca</v>
          </cell>
          <cell r="C277">
            <v>2024</v>
          </cell>
          <cell r="D277" t="str">
            <v>Monterrey</v>
          </cell>
          <cell r="E277">
            <v>3</v>
          </cell>
          <cell r="F277">
            <v>2</v>
          </cell>
          <cell r="G277" t="str">
            <v>Pachuca</v>
          </cell>
          <cell r="H277">
            <v>88.6</v>
          </cell>
          <cell r="I277">
            <v>8.86</v>
          </cell>
          <cell r="J277">
            <v>26.58</v>
          </cell>
          <cell r="K277">
            <v>26.58</v>
          </cell>
          <cell r="L277">
            <v>26.58</v>
          </cell>
          <cell r="M277">
            <v>0.60869565217391308</v>
          </cell>
          <cell r="N277">
            <v>0.17391304347826086</v>
          </cell>
          <cell r="O277">
            <v>0.21739130434782608</v>
          </cell>
          <cell r="P277">
            <v>118</v>
          </cell>
          <cell r="Q277">
            <v>56.6</v>
          </cell>
          <cell r="R277">
            <v>5.66</v>
          </cell>
          <cell r="S277">
            <v>16.98</v>
          </cell>
          <cell r="T277">
            <v>16.98</v>
          </cell>
          <cell r="U277">
            <v>16.98</v>
          </cell>
          <cell r="V277">
            <v>0.26315789473684209</v>
          </cell>
          <cell r="W277">
            <v>0.15789473684210525</v>
          </cell>
          <cell r="X277">
            <v>0.57894736842105265</v>
          </cell>
          <cell r="Y277">
            <v>98</v>
          </cell>
        </row>
        <row r="278">
          <cell r="A278" t="str">
            <v>2024-América</v>
          </cell>
          <cell r="B278" t="str">
            <v>2024-Monterrey</v>
          </cell>
          <cell r="C278">
            <v>2024</v>
          </cell>
          <cell r="D278" t="str">
            <v>América</v>
          </cell>
          <cell r="E278">
            <v>1</v>
          </cell>
          <cell r="F278">
            <v>1</v>
          </cell>
          <cell r="G278" t="str">
            <v>Monterrey</v>
          </cell>
          <cell r="H278">
            <v>92.45</v>
          </cell>
          <cell r="I278">
            <v>9.25</v>
          </cell>
          <cell r="J278">
            <v>27.73</v>
          </cell>
          <cell r="K278">
            <v>27.73</v>
          </cell>
          <cell r="L278">
            <v>27.73</v>
          </cell>
          <cell r="M278">
            <v>0.65217391304347827</v>
          </cell>
          <cell r="N278">
            <v>0.21739130434782608</v>
          </cell>
          <cell r="O278">
            <v>0.13043478260869565</v>
          </cell>
          <cell r="P278">
            <v>133</v>
          </cell>
          <cell r="Q278">
            <v>88.6</v>
          </cell>
          <cell r="R278">
            <v>8.86</v>
          </cell>
          <cell r="S278">
            <v>26.58</v>
          </cell>
          <cell r="T278">
            <v>26.58</v>
          </cell>
          <cell r="U278">
            <v>26.58</v>
          </cell>
          <cell r="V278">
            <v>0.38095238095238093</v>
          </cell>
          <cell r="W278">
            <v>0.23809523809523808</v>
          </cell>
          <cell r="X278">
            <v>0.38095238095238093</v>
          </cell>
          <cell r="Y278">
            <v>118</v>
          </cell>
        </row>
        <row r="279">
          <cell r="A279" t="str">
            <v>2024-Monterrey</v>
          </cell>
          <cell r="B279" t="str">
            <v>2024-Atlético San Luis</v>
          </cell>
          <cell r="C279">
            <v>2024</v>
          </cell>
          <cell r="D279" t="str">
            <v>Monterrey</v>
          </cell>
          <cell r="E279">
            <v>3</v>
          </cell>
          <cell r="F279">
            <v>1</v>
          </cell>
          <cell r="G279" t="str">
            <v>Atlético San Luis</v>
          </cell>
          <cell r="H279">
            <v>88.6</v>
          </cell>
          <cell r="I279">
            <v>8.86</v>
          </cell>
          <cell r="J279">
            <v>26.58</v>
          </cell>
          <cell r="K279">
            <v>26.58</v>
          </cell>
          <cell r="L279">
            <v>26.58</v>
          </cell>
          <cell r="M279">
            <v>0.60869565217391308</v>
          </cell>
          <cell r="N279">
            <v>0.17391304347826086</v>
          </cell>
          <cell r="O279">
            <v>0.21739130434782608</v>
          </cell>
          <cell r="P279">
            <v>118</v>
          </cell>
          <cell r="Q279">
            <v>45.95</v>
          </cell>
          <cell r="R279">
            <v>4.5999999999999996</v>
          </cell>
          <cell r="S279">
            <v>13.84</v>
          </cell>
          <cell r="T279">
            <v>13.84</v>
          </cell>
          <cell r="U279">
            <v>13.84</v>
          </cell>
          <cell r="V279">
            <v>0.21052631578947367</v>
          </cell>
          <cell r="W279">
            <v>0.15789473684210525</v>
          </cell>
          <cell r="X279">
            <v>0.63157894736842102</v>
          </cell>
          <cell r="Y279">
            <v>59</v>
          </cell>
        </row>
        <row r="280">
          <cell r="A280" t="str">
            <v>2024-Monterrey</v>
          </cell>
          <cell r="B280" t="str">
            <v>2024-Querétaro</v>
          </cell>
          <cell r="C280">
            <v>2024</v>
          </cell>
          <cell r="D280" t="str">
            <v>Monterrey</v>
          </cell>
          <cell r="E280">
            <v>1</v>
          </cell>
          <cell r="F280">
            <v>1</v>
          </cell>
          <cell r="G280" t="str">
            <v>Querétaro</v>
          </cell>
          <cell r="H280">
            <v>88.6</v>
          </cell>
          <cell r="I280">
            <v>8.86</v>
          </cell>
          <cell r="J280">
            <v>26.58</v>
          </cell>
          <cell r="K280">
            <v>26.58</v>
          </cell>
          <cell r="L280">
            <v>26.58</v>
          </cell>
          <cell r="M280">
            <v>0.60869565217391308</v>
          </cell>
          <cell r="N280">
            <v>0.17391304347826086</v>
          </cell>
          <cell r="O280">
            <v>0.21739130434782608</v>
          </cell>
          <cell r="P280">
            <v>118</v>
          </cell>
          <cell r="Q280" t="str">
            <v>NULL</v>
          </cell>
          <cell r="R280" t="str">
            <v>NULL</v>
          </cell>
          <cell r="S280" t="str">
            <v>NULL</v>
          </cell>
          <cell r="T280" t="str">
            <v>NULL</v>
          </cell>
          <cell r="U280" t="str">
            <v>NULL</v>
          </cell>
          <cell r="V280">
            <v>0.17647058823529413</v>
          </cell>
          <cell r="W280">
            <v>0.17647058823529413</v>
          </cell>
          <cell r="X280">
            <v>0.6470588235294118</v>
          </cell>
          <cell r="Y280">
            <v>64</v>
          </cell>
        </row>
        <row r="281">
          <cell r="A281" t="str">
            <v>2024-Santos Laguna</v>
          </cell>
          <cell r="B281" t="str">
            <v>2024-Monterrey</v>
          </cell>
          <cell r="C281">
            <v>2024</v>
          </cell>
          <cell r="D281" t="str">
            <v>Santos Laguna</v>
          </cell>
          <cell r="E281">
            <v>0</v>
          </cell>
          <cell r="F281">
            <v>2</v>
          </cell>
          <cell r="G281" t="str">
            <v>Monterrey</v>
          </cell>
          <cell r="H281">
            <v>35.9</v>
          </cell>
          <cell r="I281">
            <v>3.59</v>
          </cell>
          <cell r="J281">
            <v>10.77</v>
          </cell>
          <cell r="K281">
            <v>10.77</v>
          </cell>
          <cell r="L281">
            <v>10.77</v>
          </cell>
          <cell r="M281">
            <v>0.23529411764705882</v>
          </cell>
          <cell r="N281">
            <v>0.17647058823529413</v>
          </cell>
          <cell r="O281">
            <v>0.58823529411764708</v>
          </cell>
          <cell r="P281">
            <v>46</v>
          </cell>
          <cell r="Q281">
            <v>88.6</v>
          </cell>
          <cell r="R281">
            <v>8.86</v>
          </cell>
          <cell r="S281">
            <v>26.58</v>
          </cell>
          <cell r="T281">
            <v>26.58</v>
          </cell>
          <cell r="U281">
            <v>26.58</v>
          </cell>
          <cell r="V281">
            <v>0.38095238095238093</v>
          </cell>
          <cell r="W281">
            <v>0.23809523809523808</v>
          </cell>
          <cell r="X281">
            <v>0.38095238095238093</v>
          </cell>
          <cell r="Y281">
            <v>118</v>
          </cell>
        </row>
        <row r="282">
          <cell r="A282" t="str">
            <v>2024-Monterrey</v>
          </cell>
          <cell r="B282" t="str">
            <v>2024-Puebla</v>
          </cell>
          <cell r="C282">
            <v>2024</v>
          </cell>
          <cell r="D282" t="str">
            <v>Monterrey</v>
          </cell>
          <cell r="E282">
            <v>2</v>
          </cell>
          <cell r="F282">
            <v>0</v>
          </cell>
          <cell r="G282" t="str">
            <v>Puebla</v>
          </cell>
          <cell r="H282">
            <v>88.6</v>
          </cell>
          <cell r="I282">
            <v>8.86</v>
          </cell>
          <cell r="J282">
            <v>26.58</v>
          </cell>
          <cell r="K282">
            <v>26.58</v>
          </cell>
          <cell r="L282">
            <v>26.58</v>
          </cell>
          <cell r="M282">
            <v>0.60869565217391308</v>
          </cell>
          <cell r="N282">
            <v>0.17391304347826086</v>
          </cell>
          <cell r="O282">
            <v>0.21739130434782608</v>
          </cell>
          <cell r="P282">
            <v>118</v>
          </cell>
          <cell r="Q282">
            <v>24.1</v>
          </cell>
          <cell r="R282">
            <v>2.41</v>
          </cell>
          <cell r="S282">
            <v>7.23</v>
          </cell>
          <cell r="T282">
            <v>7.23</v>
          </cell>
          <cell r="U282">
            <v>7.23</v>
          </cell>
          <cell r="V282">
            <v>0.11764705882352941</v>
          </cell>
          <cell r="W282">
            <v>0.17647058823529413</v>
          </cell>
          <cell r="X282">
            <v>0.70588235294117652</v>
          </cell>
          <cell r="Y282">
            <v>34</v>
          </cell>
        </row>
        <row r="283">
          <cell r="A283" t="str">
            <v>2023-Monterrey</v>
          </cell>
          <cell r="B283" t="str">
            <v>2023-Atlético San Luis</v>
          </cell>
          <cell r="C283">
            <v>2023</v>
          </cell>
          <cell r="D283" t="str">
            <v>Monterrey</v>
          </cell>
          <cell r="E283">
            <v>1</v>
          </cell>
          <cell r="F283">
            <v>1</v>
          </cell>
          <cell r="G283" t="str">
            <v>Atlético San Luis</v>
          </cell>
          <cell r="H283">
            <v>88.1</v>
          </cell>
          <cell r="I283">
            <v>8.81</v>
          </cell>
          <cell r="J283">
            <v>26.43</v>
          </cell>
          <cell r="K283">
            <v>26.43</v>
          </cell>
          <cell r="L283">
            <v>26.43</v>
          </cell>
          <cell r="M283">
            <v>0.60869565217391308</v>
          </cell>
          <cell r="N283">
            <v>0.17391304347826086</v>
          </cell>
          <cell r="O283">
            <v>0.21739130434782608</v>
          </cell>
          <cell r="P283">
            <v>118</v>
          </cell>
          <cell r="Q283">
            <v>35.85</v>
          </cell>
          <cell r="R283">
            <v>3.59</v>
          </cell>
          <cell r="S283">
            <v>10.77</v>
          </cell>
          <cell r="T283">
            <v>10.77</v>
          </cell>
          <cell r="U283">
            <v>10.77</v>
          </cell>
          <cell r="V283">
            <v>0.21052631578947367</v>
          </cell>
          <cell r="W283">
            <v>0.15789473684210525</v>
          </cell>
          <cell r="X283">
            <v>0.63157894736842102</v>
          </cell>
          <cell r="Y283">
            <v>59</v>
          </cell>
        </row>
        <row r="284">
          <cell r="A284" t="str">
            <v>2023-Atlético San Luis</v>
          </cell>
          <cell r="B284" t="str">
            <v>2023-Monterrey</v>
          </cell>
          <cell r="C284">
            <v>2023</v>
          </cell>
          <cell r="D284" t="str">
            <v>Atlético San Luis</v>
          </cell>
          <cell r="E284">
            <v>1</v>
          </cell>
          <cell r="F284">
            <v>0</v>
          </cell>
          <cell r="G284" t="str">
            <v>Monterrey</v>
          </cell>
          <cell r="H284">
            <v>35.85</v>
          </cell>
          <cell r="I284">
            <v>3.59</v>
          </cell>
          <cell r="J284">
            <v>10.77</v>
          </cell>
          <cell r="K284">
            <v>10.77</v>
          </cell>
          <cell r="L284">
            <v>10.77</v>
          </cell>
          <cell r="M284">
            <v>0.68421052631578949</v>
          </cell>
          <cell r="N284">
            <v>5.2631578947368418E-2</v>
          </cell>
          <cell r="O284">
            <v>0.26315789473684209</v>
          </cell>
          <cell r="P284">
            <v>59</v>
          </cell>
          <cell r="Q284">
            <v>88.1</v>
          </cell>
          <cell r="R284">
            <v>8.81</v>
          </cell>
          <cell r="S284">
            <v>26.43</v>
          </cell>
          <cell r="T284">
            <v>26.43</v>
          </cell>
          <cell r="U284">
            <v>26.43</v>
          </cell>
          <cell r="V284">
            <v>0.38095238095238093</v>
          </cell>
          <cell r="W284">
            <v>0.23809523809523808</v>
          </cell>
          <cell r="X284">
            <v>0.38095238095238093</v>
          </cell>
          <cell r="Y284">
            <v>118</v>
          </cell>
        </row>
        <row r="285">
          <cell r="A285" t="str">
            <v>2023-Querétaro</v>
          </cell>
          <cell r="B285" t="str">
            <v>2023-Monterrey</v>
          </cell>
          <cell r="C285">
            <v>2023</v>
          </cell>
          <cell r="D285" t="str">
            <v>Querétaro</v>
          </cell>
          <cell r="E285">
            <v>0</v>
          </cell>
          <cell r="F285">
            <v>0</v>
          </cell>
          <cell r="G285" t="str">
            <v>Monterrey</v>
          </cell>
          <cell r="H285">
            <v>21.45</v>
          </cell>
          <cell r="I285">
            <v>2.14</v>
          </cell>
          <cell r="J285">
            <v>6.44</v>
          </cell>
          <cell r="K285">
            <v>6.44</v>
          </cell>
          <cell r="L285">
            <v>6.44</v>
          </cell>
          <cell r="M285">
            <v>0.35294117647058826</v>
          </cell>
          <cell r="N285">
            <v>0.11764705882352941</v>
          </cell>
          <cell r="O285">
            <v>0.52941176470588236</v>
          </cell>
          <cell r="P285">
            <v>64</v>
          </cell>
          <cell r="Q285">
            <v>88.1</v>
          </cell>
          <cell r="R285">
            <v>8.81</v>
          </cell>
          <cell r="S285">
            <v>26.43</v>
          </cell>
          <cell r="T285">
            <v>26.43</v>
          </cell>
          <cell r="U285">
            <v>26.43</v>
          </cell>
          <cell r="V285">
            <v>0.38095238095238093</v>
          </cell>
          <cell r="W285">
            <v>0.23809523809523808</v>
          </cell>
          <cell r="X285">
            <v>0.38095238095238093</v>
          </cell>
          <cell r="Y285">
            <v>118</v>
          </cell>
        </row>
        <row r="286">
          <cell r="A286" t="str">
            <v>2023-Monterrey</v>
          </cell>
          <cell r="B286" t="str">
            <v>2023-Santos Laguna</v>
          </cell>
          <cell r="C286">
            <v>2023</v>
          </cell>
          <cell r="D286" t="str">
            <v>Monterrey</v>
          </cell>
          <cell r="E286">
            <v>3</v>
          </cell>
          <cell r="F286">
            <v>0</v>
          </cell>
          <cell r="G286" t="str">
            <v>Santos Laguna</v>
          </cell>
          <cell r="H286">
            <v>88.1</v>
          </cell>
          <cell r="I286">
            <v>8.81</v>
          </cell>
          <cell r="J286">
            <v>26.43</v>
          </cell>
          <cell r="K286">
            <v>26.43</v>
          </cell>
          <cell r="L286">
            <v>26.43</v>
          </cell>
          <cell r="M286">
            <v>0.60869565217391308</v>
          </cell>
          <cell r="N286">
            <v>0.17391304347826086</v>
          </cell>
          <cell r="O286">
            <v>0.21739130434782608</v>
          </cell>
          <cell r="P286">
            <v>118</v>
          </cell>
          <cell r="Q286" t="str">
            <v>NULL</v>
          </cell>
          <cell r="R286" t="str">
            <v>NULL</v>
          </cell>
          <cell r="S286" t="str">
            <v>NULL</v>
          </cell>
          <cell r="T286" t="str">
            <v>NULL</v>
          </cell>
          <cell r="U286" t="str">
            <v>NULL</v>
          </cell>
          <cell r="V286">
            <v>0</v>
          </cell>
          <cell r="W286">
            <v>0.11764705882352941</v>
          </cell>
          <cell r="X286">
            <v>0.88235294117647056</v>
          </cell>
          <cell r="Y286">
            <v>46</v>
          </cell>
        </row>
        <row r="287">
          <cell r="A287" t="str">
            <v>2023-Pachuca</v>
          </cell>
          <cell r="B287" t="str">
            <v>2023-Monterrey</v>
          </cell>
          <cell r="C287">
            <v>2023</v>
          </cell>
          <cell r="D287" t="str">
            <v>Pachuca</v>
          </cell>
          <cell r="E287">
            <v>0</v>
          </cell>
          <cell r="F287">
            <v>2</v>
          </cell>
          <cell r="G287" t="str">
            <v>Monterrey</v>
          </cell>
          <cell r="H287">
            <v>51.25</v>
          </cell>
          <cell r="I287">
            <v>5.13</v>
          </cell>
          <cell r="J287">
            <v>15.38</v>
          </cell>
          <cell r="K287">
            <v>15.38</v>
          </cell>
          <cell r="L287">
            <v>15.38</v>
          </cell>
          <cell r="M287">
            <v>0.3888888888888889</v>
          </cell>
          <cell r="N287">
            <v>0.33333333333333331</v>
          </cell>
          <cell r="O287">
            <v>0.27777777777777779</v>
          </cell>
          <cell r="P287">
            <v>98</v>
          </cell>
          <cell r="Q287">
            <v>88.1</v>
          </cell>
          <cell r="R287">
            <v>8.81</v>
          </cell>
          <cell r="S287">
            <v>26.43</v>
          </cell>
          <cell r="T287">
            <v>26.43</v>
          </cell>
          <cell r="U287">
            <v>26.43</v>
          </cell>
          <cell r="V287">
            <v>0.38095238095238093</v>
          </cell>
          <cell r="W287">
            <v>0.23809523809523808</v>
          </cell>
          <cell r="X287">
            <v>0.38095238095238093</v>
          </cell>
          <cell r="Y287">
            <v>118</v>
          </cell>
        </row>
        <row r="288">
          <cell r="A288" t="str">
            <v>2023-Monterrey</v>
          </cell>
          <cell r="B288" t="str">
            <v>2023-Necaxa</v>
          </cell>
          <cell r="C288">
            <v>2023</v>
          </cell>
          <cell r="D288" t="str">
            <v>Monterrey</v>
          </cell>
          <cell r="E288">
            <v>3</v>
          </cell>
          <cell r="F288">
            <v>0</v>
          </cell>
          <cell r="G288" t="str">
            <v>Necaxa</v>
          </cell>
          <cell r="H288">
            <v>88.1</v>
          </cell>
          <cell r="I288">
            <v>8.81</v>
          </cell>
          <cell r="J288">
            <v>26.43</v>
          </cell>
          <cell r="K288">
            <v>26.43</v>
          </cell>
          <cell r="L288">
            <v>26.43</v>
          </cell>
          <cell r="M288">
            <v>0.60869565217391308</v>
          </cell>
          <cell r="N288">
            <v>0.17391304347826086</v>
          </cell>
          <cell r="O288">
            <v>0.21739130434782608</v>
          </cell>
          <cell r="P288">
            <v>118</v>
          </cell>
          <cell r="Q288">
            <v>40</v>
          </cell>
          <cell r="R288">
            <v>4</v>
          </cell>
          <cell r="S288">
            <v>12</v>
          </cell>
          <cell r="T288">
            <v>12</v>
          </cell>
          <cell r="U288">
            <v>12</v>
          </cell>
          <cell r="V288">
            <v>0.27777777777777779</v>
          </cell>
          <cell r="W288">
            <v>0.27777777777777779</v>
          </cell>
          <cell r="X288">
            <v>0.44444444444444442</v>
          </cell>
          <cell r="Y288">
            <v>77</v>
          </cell>
        </row>
        <row r="289">
          <cell r="A289" t="str">
            <v>2023-Monterrey</v>
          </cell>
          <cell r="B289" t="str">
            <v>2023-Xolos</v>
          </cell>
          <cell r="C289">
            <v>2023</v>
          </cell>
          <cell r="D289" t="str">
            <v>Monterrey</v>
          </cell>
          <cell r="E289">
            <v>3</v>
          </cell>
          <cell r="F289">
            <v>1</v>
          </cell>
          <cell r="G289" t="str">
            <v>Xolos</v>
          </cell>
          <cell r="H289">
            <v>88.1</v>
          </cell>
          <cell r="I289">
            <v>8.81</v>
          </cell>
          <cell r="J289">
            <v>26.43</v>
          </cell>
          <cell r="K289">
            <v>26.43</v>
          </cell>
          <cell r="L289">
            <v>26.43</v>
          </cell>
          <cell r="M289">
            <v>0.60869565217391308</v>
          </cell>
          <cell r="N289">
            <v>0.17391304347826086</v>
          </cell>
          <cell r="O289">
            <v>0.21739130434782608</v>
          </cell>
          <cell r="P289">
            <v>118</v>
          </cell>
          <cell r="Q289" t="str">
            <v>NULL</v>
          </cell>
          <cell r="R289" t="str">
            <v>NULL</v>
          </cell>
          <cell r="S289" t="str">
            <v>NULL</v>
          </cell>
          <cell r="T289" t="str">
            <v>NULL</v>
          </cell>
          <cell r="U289" t="str">
            <v>NULL</v>
          </cell>
          <cell r="V289">
            <v>0.27777777777777779</v>
          </cell>
          <cell r="W289">
            <v>0.22222222222222221</v>
          </cell>
          <cell r="X289">
            <v>0.5</v>
          </cell>
          <cell r="Y289">
            <v>49</v>
          </cell>
        </row>
        <row r="290">
          <cell r="A290" t="str">
            <v>2023-Pumas</v>
          </cell>
          <cell r="B290" t="str">
            <v>2023-Monterrey</v>
          </cell>
          <cell r="C290">
            <v>2023</v>
          </cell>
          <cell r="D290" t="str">
            <v>Pumas</v>
          </cell>
          <cell r="E290">
            <v>0</v>
          </cell>
          <cell r="F290">
            <v>1</v>
          </cell>
          <cell r="G290" t="str">
            <v>Monterrey</v>
          </cell>
          <cell r="H290" t="str">
            <v>NULL</v>
          </cell>
          <cell r="I290" t="str">
            <v>NULL</v>
          </cell>
          <cell r="J290" t="str">
            <v>NULL</v>
          </cell>
          <cell r="K290" t="str">
            <v>NULL</v>
          </cell>
          <cell r="L290" t="str">
            <v>NULL</v>
          </cell>
          <cell r="M290">
            <v>0.5</v>
          </cell>
          <cell r="N290">
            <v>0.16666666666666666</v>
          </cell>
          <cell r="O290">
            <v>0.33333333333333331</v>
          </cell>
          <cell r="P290">
            <v>75</v>
          </cell>
          <cell r="Q290">
            <v>88.1</v>
          </cell>
          <cell r="R290">
            <v>8.81</v>
          </cell>
          <cell r="S290">
            <v>26.43</v>
          </cell>
          <cell r="T290">
            <v>26.43</v>
          </cell>
          <cell r="U290">
            <v>26.43</v>
          </cell>
          <cell r="V290">
            <v>0.38095238095238093</v>
          </cell>
          <cell r="W290">
            <v>0.23809523809523808</v>
          </cell>
          <cell r="X290">
            <v>0.38095238095238093</v>
          </cell>
          <cell r="Y290">
            <v>118</v>
          </cell>
        </row>
        <row r="291">
          <cell r="A291" t="str">
            <v>2023-Monterrey</v>
          </cell>
          <cell r="B291" t="str">
            <v>2023-Juarez</v>
          </cell>
          <cell r="C291">
            <v>2023</v>
          </cell>
          <cell r="D291" t="str">
            <v>Monterrey</v>
          </cell>
          <cell r="E291">
            <v>3</v>
          </cell>
          <cell r="F291">
            <v>1</v>
          </cell>
          <cell r="G291" t="str">
            <v>Juarez</v>
          </cell>
          <cell r="H291">
            <v>88.1</v>
          </cell>
          <cell r="I291">
            <v>8.81</v>
          </cell>
          <cell r="J291">
            <v>26.43</v>
          </cell>
          <cell r="K291">
            <v>26.43</v>
          </cell>
          <cell r="L291">
            <v>26.43</v>
          </cell>
          <cell r="M291">
            <v>0.60869565217391308</v>
          </cell>
          <cell r="N291">
            <v>0.17391304347826086</v>
          </cell>
          <cell r="O291">
            <v>0.21739130434782608</v>
          </cell>
          <cell r="P291">
            <v>118</v>
          </cell>
          <cell r="Q291" t="str">
            <v>NULL</v>
          </cell>
          <cell r="R291" t="str">
            <v>NULL</v>
          </cell>
          <cell r="S291" t="str">
            <v>NULL</v>
          </cell>
          <cell r="T291" t="str">
            <v>NULL</v>
          </cell>
          <cell r="U291" t="str">
            <v>NULL</v>
          </cell>
          <cell r="V291">
            <v>0.35294117647058826</v>
          </cell>
          <cell r="W291">
            <v>0.17647058823529413</v>
          </cell>
          <cell r="X291">
            <v>0.47058823529411764</v>
          </cell>
          <cell r="Y291">
            <v>55</v>
          </cell>
        </row>
        <row r="292">
          <cell r="A292" t="str">
            <v>2023-Puebla</v>
          </cell>
          <cell r="B292" t="str">
            <v>2023-Monterrey</v>
          </cell>
          <cell r="C292">
            <v>2023</v>
          </cell>
          <cell r="D292" t="str">
            <v>Puebla</v>
          </cell>
          <cell r="E292">
            <v>1</v>
          </cell>
          <cell r="F292">
            <v>1</v>
          </cell>
          <cell r="G292" t="str">
            <v>Monterrey</v>
          </cell>
          <cell r="H292">
            <v>26.7</v>
          </cell>
          <cell r="I292">
            <v>2.67</v>
          </cell>
          <cell r="J292">
            <v>8.01</v>
          </cell>
          <cell r="K292">
            <v>8.01</v>
          </cell>
          <cell r="L292">
            <v>8.01</v>
          </cell>
          <cell r="M292">
            <v>0.23529411764705882</v>
          </cell>
          <cell r="N292">
            <v>0.11764705882352941</v>
          </cell>
          <cell r="O292">
            <v>0.6470588235294118</v>
          </cell>
          <cell r="P292">
            <v>34</v>
          </cell>
          <cell r="Q292">
            <v>88.1</v>
          </cell>
          <cell r="R292">
            <v>8.81</v>
          </cell>
          <cell r="S292">
            <v>26.43</v>
          </cell>
          <cell r="T292">
            <v>26.43</v>
          </cell>
          <cell r="U292">
            <v>26.43</v>
          </cell>
          <cell r="V292">
            <v>0.38095238095238093</v>
          </cell>
          <cell r="W292">
            <v>0.23809523809523808</v>
          </cell>
          <cell r="X292">
            <v>0.38095238095238093</v>
          </cell>
          <cell r="Y292">
            <v>118</v>
          </cell>
        </row>
        <row r="293">
          <cell r="A293" t="str">
            <v>2023-Tigres</v>
          </cell>
          <cell r="B293" t="str">
            <v>2023-Monterrey</v>
          </cell>
          <cell r="C293">
            <v>2023</v>
          </cell>
          <cell r="D293" t="str">
            <v>Tigres</v>
          </cell>
          <cell r="E293">
            <v>3</v>
          </cell>
          <cell r="F293">
            <v>0</v>
          </cell>
          <cell r="G293" t="str">
            <v>Monterrey</v>
          </cell>
          <cell r="H293">
            <v>67.599999999999994</v>
          </cell>
          <cell r="I293">
            <v>6.76</v>
          </cell>
          <cell r="J293">
            <v>20.28</v>
          </cell>
          <cell r="K293">
            <v>20.28</v>
          </cell>
          <cell r="L293">
            <v>20.28</v>
          </cell>
          <cell r="M293">
            <v>0.7</v>
          </cell>
          <cell r="N293">
            <v>0.25</v>
          </cell>
          <cell r="O293">
            <v>0.05</v>
          </cell>
          <cell r="P293">
            <v>107</v>
          </cell>
          <cell r="Q293">
            <v>88.1</v>
          </cell>
          <cell r="R293">
            <v>8.81</v>
          </cell>
          <cell r="S293">
            <v>26.43</v>
          </cell>
          <cell r="T293">
            <v>26.43</v>
          </cell>
          <cell r="U293">
            <v>26.43</v>
          </cell>
          <cell r="V293">
            <v>0.38095238095238093</v>
          </cell>
          <cell r="W293">
            <v>0.23809523809523808</v>
          </cell>
          <cell r="X293">
            <v>0.38095238095238093</v>
          </cell>
          <cell r="Y293">
            <v>118</v>
          </cell>
        </row>
        <row r="294">
          <cell r="A294" t="str">
            <v>2023-Chivas</v>
          </cell>
          <cell r="B294" t="str">
            <v>2023-Monterrey</v>
          </cell>
          <cell r="C294">
            <v>2023</v>
          </cell>
          <cell r="D294" t="str">
            <v>Chivas</v>
          </cell>
          <cell r="E294">
            <v>1</v>
          </cell>
          <cell r="F294">
            <v>2</v>
          </cell>
          <cell r="G294" t="str">
            <v>Monterrey</v>
          </cell>
          <cell r="H294">
            <v>69.7</v>
          </cell>
          <cell r="I294">
            <v>6.97</v>
          </cell>
          <cell r="J294">
            <v>20.91</v>
          </cell>
          <cell r="K294">
            <v>20.91</v>
          </cell>
          <cell r="L294">
            <v>20.91</v>
          </cell>
          <cell r="M294">
            <v>0.44444444444444442</v>
          </cell>
          <cell r="N294">
            <v>0.33333333333333331</v>
          </cell>
          <cell r="O294">
            <v>0.22222222222222221</v>
          </cell>
          <cell r="P294">
            <v>99</v>
          </cell>
          <cell r="Q294">
            <v>88.1</v>
          </cell>
          <cell r="R294">
            <v>8.81</v>
          </cell>
          <cell r="S294">
            <v>26.43</v>
          </cell>
          <cell r="T294">
            <v>26.43</v>
          </cell>
          <cell r="U294">
            <v>26.43</v>
          </cell>
          <cell r="V294">
            <v>0.38095238095238093</v>
          </cell>
          <cell r="W294">
            <v>0.23809523809523808</v>
          </cell>
          <cell r="X294">
            <v>0.38095238095238093</v>
          </cell>
          <cell r="Y294">
            <v>118</v>
          </cell>
        </row>
        <row r="295">
          <cell r="A295" t="str">
            <v>2023-Toluca</v>
          </cell>
          <cell r="B295" t="str">
            <v>2023-Monterrey</v>
          </cell>
          <cell r="C295">
            <v>2023</v>
          </cell>
          <cell r="D295" t="str">
            <v>Toluca</v>
          </cell>
          <cell r="E295">
            <v>1</v>
          </cell>
          <cell r="F295">
            <v>0</v>
          </cell>
          <cell r="G295" t="str">
            <v>Monterrey</v>
          </cell>
          <cell r="H295">
            <v>66.2</v>
          </cell>
          <cell r="I295">
            <v>6.62</v>
          </cell>
          <cell r="J295">
            <v>19.86</v>
          </cell>
          <cell r="K295">
            <v>19.86</v>
          </cell>
          <cell r="L295">
            <v>19.86</v>
          </cell>
          <cell r="M295">
            <v>0.76190476190476186</v>
          </cell>
          <cell r="N295">
            <v>0.19047619047619047</v>
          </cell>
          <cell r="O295">
            <v>4.7619047619047616E-2</v>
          </cell>
          <cell r="P295">
            <v>118</v>
          </cell>
          <cell r="Q295">
            <v>88.1</v>
          </cell>
          <cell r="R295">
            <v>8.81</v>
          </cell>
          <cell r="S295">
            <v>26.43</v>
          </cell>
          <cell r="T295">
            <v>26.43</v>
          </cell>
          <cell r="U295">
            <v>26.43</v>
          </cell>
          <cell r="V295">
            <v>0.38095238095238093</v>
          </cell>
          <cell r="W295">
            <v>0.23809523809523808</v>
          </cell>
          <cell r="X295">
            <v>0.38095238095238093</v>
          </cell>
          <cell r="Y295">
            <v>118</v>
          </cell>
        </row>
        <row r="296">
          <cell r="A296" t="str">
            <v>2023-Monterrey</v>
          </cell>
          <cell r="B296" t="str">
            <v>2023-Cruz Azul</v>
          </cell>
          <cell r="C296">
            <v>2023</v>
          </cell>
          <cell r="D296" t="str">
            <v>Monterrey</v>
          </cell>
          <cell r="E296">
            <v>1</v>
          </cell>
          <cell r="F296">
            <v>2</v>
          </cell>
          <cell r="G296" t="str">
            <v>Cruz Azul</v>
          </cell>
          <cell r="H296">
            <v>88.1</v>
          </cell>
          <cell r="I296">
            <v>8.81</v>
          </cell>
          <cell r="J296">
            <v>26.43</v>
          </cell>
          <cell r="K296">
            <v>26.43</v>
          </cell>
          <cell r="L296">
            <v>26.43</v>
          </cell>
          <cell r="M296">
            <v>0.60869565217391308</v>
          </cell>
          <cell r="N296">
            <v>0.17391304347826086</v>
          </cell>
          <cell r="O296">
            <v>0.21739130434782608</v>
          </cell>
          <cell r="P296">
            <v>118</v>
          </cell>
          <cell r="Q296">
            <v>72.2</v>
          </cell>
          <cell r="R296">
            <v>7.22</v>
          </cell>
          <cell r="S296">
            <v>21.66</v>
          </cell>
          <cell r="T296">
            <v>21.66</v>
          </cell>
          <cell r="U296">
            <v>21.66</v>
          </cell>
          <cell r="V296">
            <v>0.52380952380952384</v>
          </cell>
          <cell r="W296">
            <v>0.23809523809523808</v>
          </cell>
          <cell r="X296">
            <v>0.23809523809523808</v>
          </cell>
          <cell r="Y296">
            <v>107</v>
          </cell>
        </row>
        <row r="297">
          <cell r="A297" t="str">
            <v>2023-Monterrey</v>
          </cell>
          <cell r="B297" t="str">
            <v>2023-Atlas</v>
          </cell>
          <cell r="C297">
            <v>2023</v>
          </cell>
          <cell r="D297" t="str">
            <v>Monterrey</v>
          </cell>
          <cell r="E297">
            <v>1</v>
          </cell>
          <cell r="F297">
            <v>0</v>
          </cell>
          <cell r="G297" t="str">
            <v>Atlas</v>
          </cell>
          <cell r="H297">
            <v>88.1</v>
          </cell>
          <cell r="I297">
            <v>8.81</v>
          </cell>
          <cell r="J297">
            <v>26.43</v>
          </cell>
          <cell r="K297">
            <v>26.43</v>
          </cell>
          <cell r="L297">
            <v>26.43</v>
          </cell>
          <cell r="M297">
            <v>0.60869565217391308</v>
          </cell>
          <cell r="N297">
            <v>0.17391304347826086</v>
          </cell>
          <cell r="O297">
            <v>0.21739130434782608</v>
          </cell>
          <cell r="P297">
            <v>118</v>
          </cell>
          <cell r="Q297">
            <v>30.7</v>
          </cell>
          <cell r="R297">
            <v>3.07</v>
          </cell>
          <cell r="S297">
            <v>9.2100000000000009</v>
          </cell>
          <cell r="T297">
            <v>9.2100000000000009</v>
          </cell>
          <cell r="U297">
            <v>9.2100000000000009</v>
          </cell>
          <cell r="V297">
            <v>0.26315789473684209</v>
          </cell>
          <cell r="W297">
            <v>0.31578947368421051</v>
          </cell>
          <cell r="X297">
            <v>0.42105263157894735</v>
          </cell>
          <cell r="Y297">
            <v>60</v>
          </cell>
        </row>
        <row r="298">
          <cell r="A298" t="str">
            <v>2023-Atlético San Luis</v>
          </cell>
          <cell r="B298" t="str">
            <v>2023-Monterrey</v>
          </cell>
          <cell r="C298">
            <v>2023</v>
          </cell>
          <cell r="D298" t="str">
            <v>Atlético San Luis</v>
          </cell>
          <cell r="E298">
            <v>1</v>
          </cell>
          <cell r="F298">
            <v>1</v>
          </cell>
          <cell r="G298" t="str">
            <v>Monterrey</v>
          </cell>
          <cell r="H298">
            <v>35.85</v>
          </cell>
          <cell r="I298">
            <v>3.59</v>
          </cell>
          <cell r="J298">
            <v>10.77</v>
          </cell>
          <cell r="K298">
            <v>10.77</v>
          </cell>
          <cell r="L298">
            <v>10.77</v>
          </cell>
          <cell r="M298">
            <v>0.68421052631578949</v>
          </cell>
          <cell r="N298">
            <v>5.2631578947368418E-2</v>
          </cell>
          <cell r="O298">
            <v>0.26315789473684209</v>
          </cell>
          <cell r="P298">
            <v>59</v>
          </cell>
          <cell r="Q298">
            <v>88.1</v>
          </cell>
          <cell r="R298">
            <v>8.81</v>
          </cell>
          <cell r="S298">
            <v>26.43</v>
          </cell>
          <cell r="T298">
            <v>26.43</v>
          </cell>
          <cell r="U298">
            <v>26.43</v>
          </cell>
          <cell r="V298">
            <v>0.38095238095238093</v>
          </cell>
          <cell r="W298">
            <v>0.23809523809523808</v>
          </cell>
          <cell r="X298">
            <v>0.38095238095238093</v>
          </cell>
          <cell r="Y298">
            <v>118</v>
          </cell>
        </row>
        <row r="299">
          <cell r="A299" t="str">
            <v>2024-Necaxa</v>
          </cell>
          <cell r="B299" t="str">
            <v>2024-Querétaro</v>
          </cell>
          <cell r="C299">
            <v>2024</v>
          </cell>
          <cell r="D299" t="str">
            <v>Necaxa</v>
          </cell>
          <cell r="E299">
            <v>1</v>
          </cell>
          <cell r="F299">
            <v>1</v>
          </cell>
          <cell r="G299" t="str">
            <v>Querétaro</v>
          </cell>
          <cell r="H299">
            <v>38.5</v>
          </cell>
          <cell r="I299">
            <v>3.85</v>
          </cell>
          <cell r="J299">
            <v>11.55</v>
          </cell>
          <cell r="K299">
            <v>11.55</v>
          </cell>
          <cell r="L299">
            <v>11.55</v>
          </cell>
          <cell r="M299">
            <v>0.44444444444444442</v>
          </cell>
          <cell r="N299">
            <v>0.22222222222222221</v>
          </cell>
          <cell r="O299">
            <v>0.33333333333333331</v>
          </cell>
          <cell r="P299">
            <v>77</v>
          </cell>
          <cell r="Q299" t="str">
            <v>NULL</v>
          </cell>
          <cell r="R299" t="str">
            <v>NULL</v>
          </cell>
          <cell r="S299" t="str">
            <v>NULL</v>
          </cell>
          <cell r="T299" t="str">
            <v>NULL</v>
          </cell>
          <cell r="U299" t="str">
            <v>NULL</v>
          </cell>
          <cell r="V299">
            <v>0.17647058823529413</v>
          </cell>
          <cell r="W299">
            <v>0.17647058823529413</v>
          </cell>
          <cell r="X299">
            <v>0.6470588235294118</v>
          </cell>
          <cell r="Y299">
            <v>64</v>
          </cell>
        </row>
        <row r="300">
          <cell r="A300" t="str">
            <v>2024-Tigres</v>
          </cell>
          <cell r="B300" t="str">
            <v>2024-Necaxa</v>
          </cell>
          <cell r="C300">
            <v>2024</v>
          </cell>
          <cell r="D300" t="str">
            <v>Tigres</v>
          </cell>
          <cell r="E300">
            <v>5</v>
          </cell>
          <cell r="F300">
            <v>2</v>
          </cell>
          <cell r="G300" t="str">
            <v>Necaxa</v>
          </cell>
          <cell r="H300">
            <v>67</v>
          </cell>
          <cell r="I300">
            <v>6.7</v>
          </cell>
          <cell r="J300">
            <v>20.100000000000001</v>
          </cell>
          <cell r="K300">
            <v>20.100000000000001</v>
          </cell>
          <cell r="L300">
            <v>20.100000000000001</v>
          </cell>
          <cell r="M300">
            <v>0.7</v>
          </cell>
          <cell r="N300">
            <v>0.25</v>
          </cell>
          <cell r="O300">
            <v>0.05</v>
          </cell>
          <cell r="P300">
            <v>107</v>
          </cell>
          <cell r="Q300">
            <v>38.5</v>
          </cell>
          <cell r="R300">
            <v>3.85</v>
          </cell>
          <cell r="S300">
            <v>11.55</v>
          </cell>
          <cell r="T300">
            <v>11.55</v>
          </cell>
          <cell r="U300">
            <v>11.55</v>
          </cell>
          <cell r="V300">
            <v>0.27777777777777779</v>
          </cell>
          <cell r="W300">
            <v>0.27777777777777779</v>
          </cell>
          <cell r="X300">
            <v>0.44444444444444442</v>
          </cell>
          <cell r="Y300">
            <v>77</v>
          </cell>
        </row>
        <row r="301">
          <cell r="A301" t="str">
            <v>2024-Necaxa</v>
          </cell>
          <cell r="B301" t="str">
            <v>2024-Santos Laguna</v>
          </cell>
          <cell r="C301">
            <v>2024</v>
          </cell>
          <cell r="D301" t="str">
            <v>Necaxa</v>
          </cell>
          <cell r="E301">
            <v>2</v>
          </cell>
          <cell r="F301">
            <v>0</v>
          </cell>
          <cell r="G301" t="str">
            <v>Santos Laguna</v>
          </cell>
          <cell r="H301">
            <v>38.5</v>
          </cell>
          <cell r="I301">
            <v>3.85</v>
          </cell>
          <cell r="J301">
            <v>11.55</v>
          </cell>
          <cell r="K301">
            <v>11.55</v>
          </cell>
          <cell r="L301">
            <v>11.55</v>
          </cell>
          <cell r="M301">
            <v>0.44444444444444442</v>
          </cell>
          <cell r="N301">
            <v>0.22222222222222221</v>
          </cell>
          <cell r="O301">
            <v>0.33333333333333331</v>
          </cell>
          <cell r="P301">
            <v>77</v>
          </cell>
          <cell r="Q301" t="str">
            <v>NULL</v>
          </cell>
          <cell r="R301" t="str">
            <v>NULL</v>
          </cell>
          <cell r="S301" t="str">
            <v>NULL</v>
          </cell>
          <cell r="T301" t="str">
            <v>NULL</v>
          </cell>
          <cell r="U301" t="str">
            <v>NULL</v>
          </cell>
          <cell r="V301">
            <v>0</v>
          </cell>
          <cell r="W301">
            <v>0.11764705882352941</v>
          </cell>
          <cell r="X301">
            <v>0.88235294117647056</v>
          </cell>
          <cell r="Y301">
            <v>46</v>
          </cell>
        </row>
        <row r="302">
          <cell r="A302" t="str">
            <v>2024-Xolos</v>
          </cell>
          <cell r="B302" t="str">
            <v>2024-Necaxa</v>
          </cell>
          <cell r="C302">
            <v>2024</v>
          </cell>
          <cell r="D302" t="str">
            <v>Xolos</v>
          </cell>
          <cell r="E302">
            <v>2</v>
          </cell>
          <cell r="F302">
            <v>3</v>
          </cell>
          <cell r="G302" t="str">
            <v>Necaxa</v>
          </cell>
          <cell r="H302" t="str">
            <v>NULL</v>
          </cell>
          <cell r="I302" t="str">
            <v>NULL</v>
          </cell>
          <cell r="J302" t="str">
            <v>NULL</v>
          </cell>
          <cell r="K302" t="str">
            <v>NULL</v>
          </cell>
          <cell r="L302" t="str">
            <v>NULL</v>
          </cell>
          <cell r="M302">
            <v>0.55000000000000004</v>
          </cell>
          <cell r="N302">
            <v>0.15</v>
          </cell>
          <cell r="O302">
            <v>0.3</v>
          </cell>
          <cell r="P302">
            <v>49</v>
          </cell>
          <cell r="Q302">
            <v>38.5</v>
          </cell>
          <cell r="R302">
            <v>3.85</v>
          </cell>
          <cell r="S302">
            <v>11.55</v>
          </cell>
          <cell r="T302">
            <v>11.55</v>
          </cell>
          <cell r="U302">
            <v>11.55</v>
          </cell>
          <cell r="V302">
            <v>0.27777777777777779</v>
          </cell>
          <cell r="W302">
            <v>0.27777777777777779</v>
          </cell>
          <cell r="X302">
            <v>0.44444444444444442</v>
          </cell>
          <cell r="Y302">
            <v>77</v>
          </cell>
        </row>
        <row r="303">
          <cell r="A303" t="str">
            <v>2024-Necaxa</v>
          </cell>
          <cell r="B303" t="str">
            <v>2024-León</v>
          </cell>
          <cell r="C303">
            <v>2024</v>
          </cell>
          <cell r="D303" t="str">
            <v>Necaxa</v>
          </cell>
          <cell r="E303">
            <v>1</v>
          </cell>
          <cell r="F303">
            <v>2</v>
          </cell>
          <cell r="G303" t="str">
            <v>León</v>
          </cell>
          <cell r="H303">
            <v>38.5</v>
          </cell>
          <cell r="I303">
            <v>3.85</v>
          </cell>
          <cell r="J303">
            <v>11.55</v>
          </cell>
          <cell r="K303">
            <v>11.55</v>
          </cell>
          <cell r="L303">
            <v>11.55</v>
          </cell>
          <cell r="M303">
            <v>0.44444444444444442</v>
          </cell>
          <cell r="N303">
            <v>0.22222222222222221</v>
          </cell>
          <cell r="O303">
            <v>0.33333333333333331</v>
          </cell>
          <cell r="P303">
            <v>77</v>
          </cell>
          <cell r="Q303">
            <v>29.55</v>
          </cell>
          <cell r="R303">
            <v>2.96</v>
          </cell>
          <cell r="S303">
            <v>8.8699999999999992</v>
          </cell>
          <cell r="T303">
            <v>8.8699999999999992</v>
          </cell>
          <cell r="U303">
            <v>8.8699999999999992</v>
          </cell>
          <cell r="V303">
            <v>0.27777777777777779</v>
          </cell>
          <cell r="W303">
            <v>0.27777777777777779</v>
          </cell>
          <cell r="X303">
            <v>0.44444444444444442</v>
          </cell>
          <cell r="Y303">
            <v>87</v>
          </cell>
        </row>
        <row r="304">
          <cell r="A304" t="str">
            <v>2024-Cruz Azul</v>
          </cell>
          <cell r="B304" t="str">
            <v>2024-Necaxa</v>
          </cell>
          <cell r="C304">
            <v>2024</v>
          </cell>
          <cell r="D304" t="str">
            <v>Cruz Azul</v>
          </cell>
          <cell r="E304">
            <v>1</v>
          </cell>
          <cell r="F304">
            <v>2</v>
          </cell>
          <cell r="G304" t="str">
            <v>Necaxa</v>
          </cell>
          <cell r="H304">
            <v>78.849999999999994</v>
          </cell>
          <cell r="I304">
            <v>7.89</v>
          </cell>
          <cell r="J304">
            <v>23.66</v>
          </cell>
          <cell r="K304">
            <v>23.66</v>
          </cell>
          <cell r="L304">
            <v>23.66</v>
          </cell>
          <cell r="M304">
            <v>0.7142857142857143</v>
          </cell>
          <cell r="N304">
            <v>0.23809523809523808</v>
          </cell>
          <cell r="O304">
            <v>4.7619047619047616E-2</v>
          </cell>
          <cell r="P304">
            <v>107</v>
          </cell>
          <cell r="Q304">
            <v>38.5</v>
          </cell>
          <cell r="R304">
            <v>3.85</v>
          </cell>
          <cell r="S304">
            <v>11.55</v>
          </cell>
          <cell r="T304">
            <v>11.55</v>
          </cell>
          <cell r="U304">
            <v>11.55</v>
          </cell>
          <cell r="V304">
            <v>0.27777777777777779</v>
          </cell>
          <cell r="W304">
            <v>0.27777777777777779</v>
          </cell>
          <cell r="X304">
            <v>0.44444444444444442</v>
          </cell>
          <cell r="Y304">
            <v>77</v>
          </cell>
        </row>
        <row r="305">
          <cell r="A305" t="str">
            <v>2024-Necaxa</v>
          </cell>
          <cell r="B305" t="str">
            <v>2024-Atlético San Luis</v>
          </cell>
          <cell r="C305">
            <v>2024</v>
          </cell>
          <cell r="D305" t="str">
            <v>Necaxa</v>
          </cell>
          <cell r="E305">
            <v>3</v>
          </cell>
          <cell r="F305">
            <v>1</v>
          </cell>
          <cell r="G305" t="str">
            <v>Atlético San Luis</v>
          </cell>
          <cell r="H305">
            <v>38.5</v>
          </cell>
          <cell r="I305">
            <v>3.85</v>
          </cell>
          <cell r="J305">
            <v>11.55</v>
          </cell>
          <cell r="K305">
            <v>11.55</v>
          </cell>
          <cell r="L305">
            <v>11.55</v>
          </cell>
          <cell r="M305">
            <v>0.44444444444444442</v>
          </cell>
          <cell r="N305">
            <v>0.22222222222222221</v>
          </cell>
          <cell r="O305">
            <v>0.33333333333333331</v>
          </cell>
          <cell r="P305">
            <v>77</v>
          </cell>
          <cell r="Q305">
            <v>45.95</v>
          </cell>
          <cell r="R305">
            <v>4.5999999999999996</v>
          </cell>
          <cell r="S305">
            <v>13.84</v>
          </cell>
          <cell r="T305">
            <v>13.84</v>
          </cell>
          <cell r="U305">
            <v>13.84</v>
          </cell>
          <cell r="V305">
            <v>0.21052631578947367</v>
          </cell>
          <cell r="W305">
            <v>0.15789473684210525</v>
          </cell>
          <cell r="X305">
            <v>0.63157894736842102</v>
          </cell>
          <cell r="Y305">
            <v>59</v>
          </cell>
        </row>
        <row r="306">
          <cell r="A306" t="str">
            <v>2024-Mazatlán</v>
          </cell>
          <cell r="B306" t="str">
            <v>2024-Necaxa</v>
          </cell>
          <cell r="C306">
            <v>2024</v>
          </cell>
          <cell r="D306" t="str">
            <v>Mazatlán</v>
          </cell>
          <cell r="E306">
            <v>2</v>
          </cell>
          <cell r="F306">
            <v>1</v>
          </cell>
          <cell r="G306" t="str">
            <v>Necaxa</v>
          </cell>
          <cell r="H306">
            <v>31.45</v>
          </cell>
          <cell r="I306">
            <v>3.15</v>
          </cell>
          <cell r="J306">
            <v>9.44</v>
          </cell>
          <cell r="K306">
            <v>9.44</v>
          </cell>
          <cell r="L306">
            <v>9.44</v>
          </cell>
          <cell r="M306">
            <v>0.29411764705882354</v>
          </cell>
          <cell r="N306">
            <v>0.47058823529411764</v>
          </cell>
          <cell r="O306">
            <v>0.23529411764705882</v>
          </cell>
          <cell r="P306">
            <v>40</v>
          </cell>
          <cell r="Q306">
            <v>38.5</v>
          </cell>
          <cell r="R306">
            <v>3.85</v>
          </cell>
          <cell r="S306">
            <v>11.55</v>
          </cell>
          <cell r="T306">
            <v>11.55</v>
          </cell>
          <cell r="U306">
            <v>11.55</v>
          </cell>
          <cell r="V306">
            <v>0.27777777777777779</v>
          </cell>
          <cell r="W306">
            <v>0.27777777777777779</v>
          </cell>
          <cell r="X306">
            <v>0.44444444444444442</v>
          </cell>
          <cell r="Y306">
            <v>77</v>
          </cell>
        </row>
        <row r="307">
          <cell r="A307" t="str">
            <v>2024-Necaxa</v>
          </cell>
          <cell r="B307" t="str">
            <v>2024-Pachuca</v>
          </cell>
          <cell r="C307">
            <v>2024</v>
          </cell>
          <cell r="D307" t="str">
            <v>Necaxa</v>
          </cell>
          <cell r="E307">
            <v>1</v>
          </cell>
          <cell r="F307">
            <v>1</v>
          </cell>
          <cell r="G307" t="str">
            <v>Pachuca</v>
          </cell>
          <cell r="H307">
            <v>38.5</v>
          </cell>
          <cell r="I307">
            <v>3.85</v>
          </cell>
          <cell r="J307">
            <v>11.55</v>
          </cell>
          <cell r="K307">
            <v>11.55</v>
          </cell>
          <cell r="L307">
            <v>11.55</v>
          </cell>
          <cell r="M307">
            <v>0.44444444444444442</v>
          </cell>
          <cell r="N307">
            <v>0.22222222222222221</v>
          </cell>
          <cell r="O307">
            <v>0.33333333333333331</v>
          </cell>
          <cell r="P307">
            <v>77</v>
          </cell>
          <cell r="Q307">
            <v>56.6</v>
          </cell>
          <cell r="R307">
            <v>5.66</v>
          </cell>
          <cell r="S307">
            <v>16.98</v>
          </cell>
          <cell r="T307">
            <v>16.98</v>
          </cell>
          <cell r="U307">
            <v>16.98</v>
          </cell>
          <cell r="V307">
            <v>0.26315789473684209</v>
          </cell>
          <cell r="W307">
            <v>0.15789473684210525</v>
          </cell>
          <cell r="X307">
            <v>0.57894736842105265</v>
          </cell>
          <cell r="Y307">
            <v>98</v>
          </cell>
        </row>
        <row r="308">
          <cell r="A308" t="str">
            <v>2024-Necaxa</v>
          </cell>
          <cell r="B308" t="str">
            <v>2024-Chivas</v>
          </cell>
          <cell r="C308">
            <v>2024</v>
          </cell>
          <cell r="D308" t="str">
            <v>Necaxa</v>
          </cell>
          <cell r="E308">
            <v>1</v>
          </cell>
          <cell r="F308">
            <v>0</v>
          </cell>
          <cell r="G308" t="str">
            <v>Chivas</v>
          </cell>
          <cell r="H308">
            <v>38.5</v>
          </cell>
          <cell r="I308">
            <v>3.85</v>
          </cell>
          <cell r="J308">
            <v>11.55</v>
          </cell>
          <cell r="K308">
            <v>11.55</v>
          </cell>
          <cell r="L308">
            <v>11.55</v>
          </cell>
          <cell r="M308">
            <v>0.44444444444444442</v>
          </cell>
          <cell r="N308">
            <v>0.22222222222222221</v>
          </cell>
          <cell r="O308">
            <v>0.33333333333333331</v>
          </cell>
          <cell r="P308">
            <v>77</v>
          </cell>
          <cell r="Q308" t="str">
            <v>NULL</v>
          </cell>
          <cell r="R308" t="str">
            <v>NULL</v>
          </cell>
          <cell r="S308" t="str">
            <v>NULL</v>
          </cell>
          <cell r="T308" t="str">
            <v>NULL</v>
          </cell>
          <cell r="U308" t="str">
            <v>NULL</v>
          </cell>
          <cell r="V308">
            <v>0.23529411764705882</v>
          </cell>
          <cell r="W308">
            <v>0.23529411764705882</v>
          </cell>
          <cell r="X308">
            <v>0.52941176470588236</v>
          </cell>
          <cell r="Y308">
            <v>99</v>
          </cell>
        </row>
        <row r="309">
          <cell r="A309" t="str">
            <v>2024-Necaxa</v>
          </cell>
          <cell r="B309" t="str">
            <v>2024-Toluca</v>
          </cell>
          <cell r="C309">
            <v>2024</v>
          </cell>
          <cell r="D309" t="str">
            <v>Necaxa</v>
          </cell>
          <cell r="E309">
            <v>3</v>
          </cell>
          <cell r="F309">
            <v>3</v>
          </cell>
          <cell r="G309" t="str">
            <v>Toluca</v>
          </cell>
          <cell r="H309">
            <v>38.5</v>
          </cell>
          <cell r="I309">
            <v>3.85</v>
          </cell>
          <cell r="J309">
            <v>11.55</v>
          </cell>
          <cell r="K309">
            <v>11.55</v>
          </cell>
          <cell r="L309">
            <v>11.55</v>
          </cell>
          <cell r="M309">
            <v>0.44444444444444442</v>
          </cell>
          <cell r="N309">
            <v>0.22222222222222221</v>
          </cell>
          <cell r="O309">
            <v>0.33333333333333331</v>
          </cell>
          <cell r="P309">
            <v>77</v>
          </cell>
          <cell r="Q309">
            <v>77.45</v>
          </cell>
          <cell r="R309">
            <v>7.75</v>
          </cell>
          <cell r="S309">
            <v>23.24</v>
          </cell>
          <cell r="T309">
            <v>23.24</v>
          </cell>
          <cell r="U309">
            <v>23.24</v>
          </cell>
          <cell r="V309">
            <v>0.38095238095238093</v>
          </cell>
          <cell r="W309">
            <v>0.33333333333333331</v>
          </cell>
          <cell r="X309">
            <v>0.2857142857142857</v>
          </cell>
          <cell r="Y309">
            <v>118</v>
          </cell>
        </row>
        <row r="310">
          <cell r="A310" t="str">
            <v>2024-Juarez</v>
          </cell>
          <cell r="B310" t="str">
            <v>2024-Necaxa</v>
          </cell>
          <cell r="C310">
            <v>2024</v>
          </cell>
          <cell r="D310" t="str">
            <v>Juarez</v>
          </cell>
          <cell r="E310">
            <v>2</v>
          </cell>
          <cell r="F310">
            <v>2</v>
          </cell>
          <cell r="G310" t="str">
            <v>Necaxa</v>
          </cell>
          <cell r="H310" t="str">
            <v>NULL</v>
          </cell>
          <cell r="I310" t="str">
            <v>NULL</v>
          </cell>
          <cell r="J310" t="str">
            <v>NULL</v>
          </cell>
          <cell r="K310" t="str">
            <v>NULL</v>
          </cell>
          <cell r="L310" t="str">
            <v>NULL</v>
          </cell>
          <cell r="M310">
            <v>0.27777777777777779</v>
          </cell>
          <cell r="N310">
            <v>0.33333333333333331</v>
          </cell>
          <cell r="O310">
            <v>0.3888888888888889</v>
          </cell>
          <cell r="P310">
            <v>55</v>
          </cell>
          <cell r="Q310">
            <v>38.5</v>
          </cell>
          <cell r="R310">
            <v>3.85</v>
          </cell>
          <cell r="S310">
            <v>11.55</v>
          </cell>
          <cell r="T310">
            <v>11.55</v>
          </cell>
          <cell r="U310">
            <v>11.55</v>
          </cell>
          <cell r="V310">
            <v>0.27777777777777779</v>
          </cell>
          <cell r="W310">
            <v>0.27777777777777779</v>
          </cell>
          <cell r="X310">
            <v>0.44444444444444442</v>
          </cell>
          <cell r="Y310">
            <v>77</v>
          </cell>
        </row>
        <row r="311">
          <cell r="A311" t="str">
            <v>2024-Pumas</v>
          </cell>
          <cell r="B311" t="str">
            <v>2024-Necaxa</v>
          </cell>
          <cell r="C311">
            <v>2024</v>
          </cell>
          <cell r="D311" t="str">
            <v>Pumas</v>
          </cell>
          <cell r="E311">
            <v>2</v>
          </cell>
          <cell r="F311">
            <v>2</v>
          </cell>
          <cell r="G311" t="str">
            <v>Necaxa</v>
          </cell>
          <cell r="H311">
            <v>47.6</v>
          </cell>
          <cell r="I311">
            <v>4.76</v>
          </cell>
          <cell r="J311">
            <v>14.28</v>
          </cell>
          <cell r="K311">
            <v>14.28</v>
          </cell>
          <cell r="L311">
            <v>14.28</v>
          </cell>
          <cell r="M311">
            <v>0.5</v>
          </cell>
          <cell r="N311">
            <v>0.16666666666666666</v>
          </cell>
          <cell r="O311">
            <v>0.33333333333333331</v>
          </cell>
          <cell r="P311">
            <v>75</v>
          </cell>
          <cell r="Q311">
            <v>38.5</v>
          </cell>
          <cell r="R311">
            <v>3.85</v>
          </cell>
          <cell r="S311">
            <v>11.55</v>
          </cell>
          <cell r="T311">
            <v>11.55</v>
          </cell>
          <cell r="U311">
            <v>11.55</v>
          </cell>
          <cell r="V311">
            <v>0.27777777777777779</v>
          </cell>
          <cell r="W311">
            <v>0.27777777777777779</v>
          </cell>
          <cell r="X311">
            <v>0.44444444444444442</v>
          </cell>
          <cell r="Y311">
            <v>77</v>
          </cell>
        </row>
        <row r="312">
          <cell r="A312" t="str">
            <v>2024-Puebla</v>
          </cell>
          <cell r="B312" t="str">
            <v>2024-Necaxa</v>
          </cell>
          <cell r="C312">
            <v>2024</v>
          </cell>
          <cell r="D312" t="str">
            <v>Puebla</v>
          </cell>
          <cell r="E312">
            <v>1</v>
          </cell>
          <cell r="F312">
            <v>2</v>
          </cell>
          <cell r="G312" t="str">
            <v>Necaxa</v>
          </cell>
          <cell r="H312">
            <v>24.1</v>
          </cell>
          <cell r="I312">
            <v>2.41</v>
          </cell>
          <cell r="J312">
            <v>7.23</v>
          </cell>
          <cell r="K312">
            <v>7.23</v>
          </cell>
          <cell r="L312">
            <v>7.23</v>
          </cell>
          <cell r="M312">
            <v>0.23529411764705882</v>
          </cell>
          <cell r="N312">
            <v>0.11764705882352941</v>
          </cell>
          <cell r="O312">
            <v>0.6470588235294118</v>
          </cell>
          <cell r="P312">
            <v>34</v>
          </cell>
          <cell r="Q312">
            <v>38.5</v>
          </cell>
          <cell r="R312">
            <v>3.85</v>
          </cell>
          <cell r="S312">
            <v>11.55</v>
          </cell>
          <cell r="T312">
            <v>11.55</v>
          </cell>
          <cell r="U312">
            <v>11.55</v>
          </cell>
          <cell r="V312">
            <v>0.27777777777777779</v>
          </cell>
          <cell r="W312">
            <v>0.27777777777777779</v>
          </cell>
          <cell r="X312">
            <v>0.44444444444444442</v>
          </cell>
          <cell r="Y312">
            <v>77</v>
          </cell>
        </row>
        <row r="313">
          <cell r="A313" t="str">
            <v>2024-Necaxa</v>
          </cell>
          <cell r="B313" t="str">
            <v>2024-Atlas</v>
          </cell>
          <cell r="C313">
            <v>2024</v>
          </cell>
          <cell r="D313" t="str">
            <v>Necaxa</v>
          </cell>
          <cell r="E313">
            <v>2</v>
          </cell>
          <cell r="F313">
            <v>1</v>
          </cell>
          <cell r="G313" t="str">
            <v>Atlas</v>
          </cell>
          <cell r="H313">
            <v>38.5</v>
          </cell>
          <cell r="I313">
            <v>3.85</v>
          </cell>
          <cell r="J313">
            <v>11.55</v>
          </cell>
          <cell r="K313">
            <v>11.55</v>
          </cell>
          <cell r="L313">
            <v>11.55</v>
          </cell>
          <cell r="M313">
            <v>0.44444444444444442</v>
          </cell>
          <cell r="N313">
            <v>0.22222222222222221</v>
          </cell>
          <cell r="O313">
            <v>0.33333333333333331</v>
          </cell>
          <cell r="P313">
            <v>77</v>
          </cell>
          <cell r="Q313">
            <v>28.95</v>
          </cell>
          <cell r="R313">
            <v>2.9</v>
          </cell>
          <cell r="S313">
            <v>8.68</v>
          </cell>
          <cell r="T313">
            <v>8.68</v>
          </cell>
          <cell r="U313">
            <v>8.68</v>
          </cell>
          <cell r="V313">
            <v>0.26315789473684209</v>
          </cell>
          <cell r="W313">
            <v>0.31578947368421051</v>
          </cell>
          <cell r="X313">
            <v>0.42105263157894735</v>
          </cell>
          <cell r="Y313">
            <v>60</v>
          </cell>
        </row>
        <row r="314">
          <cell r="A314" t="str">
            <v>2023-Necaxa</v>
          </cell>
          <cell r="B314" t="str">
            <v>2023-Mazatlán</v>
          </cell>
          <cell r="C314">
            <v>2023</v>
          </cell>
          <cell r="D314" t="str">
            <v>Necaxa</v>
          </cell>
          <cell r="E314">
            <v>4</v>
          </cell>
          <cell r="F314">
            <v>0</v>
          </cell>
          <cell r="G314" t="str">
            <v>Mazatlán</v>
          </cell>
          <cell r="H314">
            <v>40</v>
          </cell>
          <cell r="I314">
            <v>4</v>
          </cell>
          <cell r="J314">
            <v>12</v>
          </cell>
          <cell r="K314">
            <v>12</v>
          </cell>
          <cell r="L314">
            <v>12</v>
          </cell>
          <cell r="M314">
            <v>0.44444444444444442</v>
          </cell>
          <cell r="N314">
            <v>0.22222222222222221</v>
          </cell>
          <cell r="O314">
            <v>0.33333333333333331</v>
          </cell>
          <cell r="P314">
            <v>77</v>
          </cell>
          <cell r="Q314">
            <v>35.049999999999997</v>
          </cell>
          <cell r="R314">
            <v>3.5</v>
          </cell>
          <cell r="S314">
            <v>10.51</v>
          </cell>
          <cell r="T314">
            <v>10.51</v>
          </cell>
          <cell r="U314">
            <v>10.51</v>
          </cell>
          <cell r="V314">
            <v>5.8823529411764705E-2</v>
          </cell>
          <cell r="W314">
            <v>0.29411764705882354</v>
          </cell>
          <cell r="X314">
            <v>0.6470588235294118</v>
          </cell>
          <cell r="Y314">
            <v>40</v>
          </cell>
        </row>
        <row r="315">
          <cell r="A315" t="str">
            <v>2023-Monterrey</v>
          </cell>
          <cell r="B315" t="str">
            <v>2023-Necaxa</v>
          </cell>
          <cell r="C315">
            <v>2023</v>
          </cell>
          <cell r="D315" t="str">
            <v>Monterrey</v>
          </cell>
          <cell r="E315">
            <v>3</v>
          </cell>
          <cell r="F315">
            <v>0</v>
          </cell>
          <cell r="G315" t="str">
            <v>Necaxa</v>
          </cell>
          <cell r="H315">
            <v>88.1</v>
          </cell>
          <cell r="I315">
            <v>8.81</v>
          </cell>
          <cell r="J315">
            <v>26.43</v>
          </cell>
          <cell r="K315">
            <v>26.43</v>
          </cell>
          <cell r="L315">
            <v>26.43</v>
          </cell>
          <cell r="M315">
            <v>0.60869565217391308</v>
          </cell>
          <cell r="N315">
            <v>0.17391304347826086</v>
          </cell>
          <cell r="O315">
            <v>0.21739130434782608</v>
          </cell>
          <cell r="P315">
            <v>118</v>
          </cell>
          <cell r="Q315">
            <v>40</v>
          </cell>
          <cell r="R315">
            <v>4</v>
          </cell>
          <cell r="S315">
            <v>12</v>
          </cell>
          <cell r="T315">
            <v>12</v>
          </cell>
          <cell r="U315">
            <v>12</v>
          </cell>
          <cell r="V315">
            <v>0.27777777777777779</v>
          </cell>
          <cell r="W315">
            <v>0.27777777777777779</v>
          </cell>
          <cell r="X315">
            <v>0.44444444444444442</v>
          </cell>
          <cell r="Y315">
            <v>77</v>
          </cell>
        </row>
        <row r="316">
          <cell r="A316" t="str">
            <v>2023-Necaxa</v>
          </cell>
          <cell r="B316" t="str">
            <v>2023-Pumas</v>
          </cell>
          <cell r="C316">
            <v>2023</v>
          </cell>
          <cell r="D316" t="str">
            <v>Necaxa</v>
          </cell>
          <cell r="E316">
            <v>1</v>
          </cell>
          <cell r="F316">
            <v>0</v>
          </cell>
          <cell r="G316" t="str">
            <v>Pumas</v>
          </cell>
          <cell r="H316">
            <v>40</v>
          </cell>
          <cell r="I316">
            <v>4</v>
          </cell>
          <cell r="J316">
            <v>12</v>
          </cell>
          <cell r="K316">
            <v>12</v>
          </cell>
          <cell r="L316">
            <v>12</v>
          </cell>
          <cell r="M316">
            <v>0.44444444444444442</v>
          </cell>
          <cell r="N316">
            <v>0.22222222222222221</v>
          </cell>
          <cell r="O316">
            <v>0.33333333333333331</v>
          </cell>
          <cell r="P316">
            <v>77</v>
          </cell>
          <cell r="Q316" t="str">
            <v>NULL</v>
          </cell>
          <cell r="R316" t="str">
            <v>NULL</v>
          </cell>
          <cell r="S316" t="str">
            <v>NULL</v>
          </cell>
          <cell r="T316" t="str">
            <v>NULL</v>
          </cell>
          <cell r="U316" t="str">
            <v>NULL</v>
          </cell>
          <cell r="V316">
            <v>0.3</v>
          </cell>
          <cell r="W316">
            <v>0.25</v>
          </cell>
          <cell r="X316">
            <v>0.45</v>
          </cell>
          <cell r="Y316">
            <v>75</v>
          </cell>
        </row>
        <row r="317">
          <cell r="A317" t="str">
            <v>2023-Atlético San Luis</v>
          </cell>
          <cell r="B317" t="str">
            <v>2023-Necaxa</v>
          </cell>
          <cell r="C317">
            <v>2023</v>
          </cell>
          <cell r="D317" t="str">
            <v>Atlético San Luis</v>
          </cell>
          <cell r="E317">
            <v>4</v>
          </cell>
          <cell r="F317">
            <v>0</v>
          </cell>
          <cell r="G317" t="str">
            <v>Necaxa</v>
          </cell>
          <cell r="H317">
            <v>35.85</v>
          </cell>
          <cell r="I317">
            <v>3.59</v>
          </cell>
          <cell r="J317">
            <v>10.77</v>
          </cell>
          <cell r="K317">
            <v>10.77</v>
          </cell>
          <cell r="L317">
            <v>10.77</v>
          </cell>
          <cell r="M317">
            <v>0.68421052631578949</v>
          </cell>
          <cell r="N317">
            <v>5.2631578947368418E-2</v>
          </cell>
          <cell r="O317">
            <v>0.26315789473684209</v>
          </cell>
          <cell r="P317">
            <v>59</v>
          </cell>
          <cell r="Q317">
            <v>40</v>
          </cell>
          <cell r="R317">
            <v>4</v>
          </cell>
          <cell r="S317">
            <v>12</v>
          </cell>
          <cell r="T317">
            <v>12</v>
          </cell>
          <cell r="U317">
            <v>12</v>
          </cell>
          <cell r="V317">
            <v>0.27777777777777779</v>
          </cell>
          <cell r="W317">
            <v>0.27777777777777779</v>
          </cell>
          <cell r="X317">
            <v>0.44444444444444442</v>
          </cell>
          <cell r="Y317">
            <v>77</v>
          </cell>
        </row>
        <row r="318">
          <cell r="A318" t="str">
            <v>2023-Necaxa</v>
          </cell>
          <cell r="B318" t="str">
            <v>2023-Cruz Azul</v>
          </cell>
          <cell r="C318">
            <v>2023</v>
          </cell>
          <cell r="D318" t="str">
            <v>Necaxa</v>
          </cell>
          <cell r="E318">
            <v>1</v>
          </cell>
          <cell r="F318">
            <v>3</v>
          </cell>
          <cell r="G318" t="str">
            <v>Cruz Azul</v>
          </cell>
          <cell r="H318">
            <v>40</v>
          </cell>
          <cell r="I318">
            <v>4</v>
          </cell>
          <cell r="J318">
            <v>12</v>
          </cell>
          <cell r="K318">
            <v>12</v>
          </cell>
          <cell r="L318">
            <v>12</v>
          </cell>
          <cell r="M318">
            <v>0.44444444444444442</v>
          </cell>
          <cell r="N318">
            <v>0.22222222222222221</v>
          </cell>
          <cell r="O318">
            <v>0.33333333333333331</v>
          </cell>
          <cell r="P318">
            <v>77</v>
          </cell>
          <cell r="Q318">
            <v>72.2</v>
          </cell>
          <cell r="R318">
            <v>7.22</v>
          </cell>
          <cell r="S318">
            <v>21.66</v>
          </cell>
          <cell r="T318">
            <v>21.66</v>
          </cell>
          <cell r="U318">
            <v>21.66</v>
          </cell>
          <cell r="V318">
            <v>0.52380952380952384</v>
          </cell>
          <cell r="W318">
            <v>0.23809523809523808</v>
          </cell>
          <cell r="X318">
            <v>0.23809523809523808</v>
          </cell>
          <cell r="Y318">
            <v>107</v>
          </cell>
        </row>
        <row r="319">
          <cell r="A319" t="str">
            <v>2023-Santos Laguna</v>
          </cell>
          <cell r="B319" t="str">
            <v>2023-Necaxa</v>
          </cell>
          <cell r="C319">
            <v>2023</v>
          </cell>
          <cell r="D319" t="str">
            <v>Santos Laguna</v>
          </cell>
          <cell r="E319">
            <v>2</v>
          </cell>
          <cell r="F319">
            <v>5</v>
          </cell>
          <cell r="G319" t="str">
            <v>Necaxa</v>
          </cell>
          <cell r="H319">
            <v>46</v>
          </cell>
          <cell r="I319">
            <v>4.5999999999999996</v>
          </cell>
          <cell r="J319">
            <v>13.8</v>
          </cell>
          <cell r="K319">
            <v>13.8</v>
          </cell>
          <cell r="L319">
            <v>13.8</v>
          </cell>
          <cell r="M319">
            <v>0.23529411764705882</v>
          </cell>
          <cell r="N319">
            <v>0.17647058823529413</v>
          </cell>
          <cell r="O319">
            <v>0.58823529411764708</v>
          </cell>
          <cell r="P319">
            <v>46</v>
          </cell>
          <cell r="Q319">
            <v>40</v>
          </cell>
          <cell r="R319">
            <v>4</v>
          </cell>
          <cell r="S319">
            <v>12</v>
          </cell>
          <cell r="T319">
            <v>12</v>
          </cell>
          <cell r="U319">
            <v>12</v>
          </cell>
          <cell r="V319">
            <v>0.27777777777777779</v>
          </cell>
          <cell r="W319">
            <v>0.27777777777777779</v>
          </cell>
          <cell r="X319">
            <v>0.44444444444444442</v>
          </cell>
          <cell r="Y319">
            <v>77</v>
          </cell>
        </row>
        <row r="320">
          <cell r="A320" t="str">
            <v>2023-Necaxa</v>
          </cell>
          <cell r="B320" t="str">
            <v>2023-Juarez</v>
          </cell>
          <cell r="C320">
            <v>2023</v>
          </cell>
          <cell r="D320" t="str">
            <v>Necaxa</v>
          </cell>
          <cell r="E320">
            <v>1</v>
          </cell>
          <cell r="F320">
            <v>1</v>
          </cell>
          <cell r="G320" t="str">
            <v>Juarez</v>
          </cell>
          <cell r="H320">
            <v>40</v>
          </cell>
          <cell r="I320">
            <v>4</v>
          </cell>
          <cell r="J320">
            <v>12</v>
          </cell>
          <cell r="K320">
            <v>12</v>
          </cell>
          <cell r="L320">
            <v>12</v>
          </cell>
          <cell r="M320">
            <v>0.44444444444444442</v>
          </cell>
          <cell r="N320">
            <v>0.22222222222222221</v>
          </cell>
          <cell r="O320">
            <v>0.33333333333333331</v>
          </cell>
          <cell r="P320">
            <v>77</v>
          </cell>
          <cell r="Q320" t="str">
            <v>NULL</v>
          </cell>
          <cell r="R320" t="str">
            <v>NULL</v>
          </cell>
          <cell r="S320" t="str">
            <v>NULL</v>
          </cell>
          <cell r="T320" t="str">
            <v>NULL</v>
          </cell>
          <cell r="U320" t="str">
            <v>NULL</v>
          </cell>
          <cell r="V320">
            <v>0.35294117647058826</v>
          </cell>
          <cell r="W320">
            <v>0.17647058823529413</v>
          </cell>
          <cell r="X320">
            <v>0.47058823529411764</v>
          </cell>
          <cell r="Y320">
            <v>55</v>
          </cell>
        </row>
        <row r="321">
          <cell r="A321" t="str">
            <v>2023-León</v>
          </cell>
          <cell r="B321" t="str">
            <v>2023-Necaxa</v>
          </cell>
          <cell r="C321">
            <v>2023</v>
          </cell>
          <cell r="D321" t="str">
            <v>León</v>
          </cell>
          <cell r="E321">
            <v>1</v>
          </cell>
          <cell r="F321">
            <v>1</v>
          </cell>
          <cell r="G321" t="str">
            <v>Necaxa</v>
          </cell>
          <cell r="H321">
            <v>41.5</v>
          </cell>
          <cell r="I321">
            <v>4.1500000000000004</v>
          </cell>
          <cell r="J321">
            <v>12.45</v>
          </cell>
          <cell r="K321">
            <v>12.45</v>
          </cell>
          <cell r="L321">
            <v>12.45</v>
          </cell>
          <cell r="M321">
            <v>0.3888888888888889</v>
          </cell>
          <cell r="N321">
            <v>0.3888888888888889</v>
          </cell>
          <cell r="O321">
            <v>0.22222222222222221</v>
          </cell>
          <cell r="P321">
            <v>87</v>
          </cell>
          <cell r="Q321">
            <v>40</v>
          </cell>
          <cell r="R321">
            <v>4</v>
          </cell>
          <cell r="S321">
            <v>12</v>
          </cell>
          <cell r="T321">
            <v>12</v>
          </cell>
          <cell r="U321">
            <v>12</v>
          </cell>
          <cell r="V321">
            <v>0.27777777777777779</v>
          </cell>
          <cell r="W321">
            <v>0.27777777777777779</v>
          </cell>
          <cell r="X321">
            <v>0.44444444444444442</v>
          </cell>
          <cell r="Y321">
            <v>77</v>
          </cell>
        </row>
        <row r="322">
          <cell r="A322" t="str">
            <v>2023-Necaxa</v>
          </cell>
          <cell r="B322" t="str">
            <v>2023-Querétaro</v>
          </cell>
          <cell r="C322">
            <v>2023</v>
          </cell>
          <cell r="D322" t="str">
            <v>Necaxa</v>
          </cell>
          <cell r="E322">
            <v>0</v>
          </cell>
          <cell r="F322">
            <v>1</v>
          </cell>
          <cell r="G322" t="str">
            <v>Querétaro</v>
          </cell>
          <cell r="H322">
            <v>40</v>
          </cell>
          <cell r="I322">
            <v>4</v>
          </cell>
          <cell r="J322">
            <v>12</v>
          </cell>
          <cell r="K322">
            <v>12</v>
          </cell>
          <cell r="L322">
            <v>12</v>
          </cell>
          <cell r="M322">
            <v>0.44444444444444442</v>
          </cell>
          <cell r="N322">
            <v>0.22222222222222221</v>
          </cell>
          <cell r="O322">
            <v>0.33333333333333331</v>
          </cell>
          <cell r="P322">
            <v>77</v>
          </cell>
          <cell r="Q322" t="str">
            <v>NULL</v>
          </cell>
          <cell r="R322" t="str">
            <v>NULL</v>
          </cell>
          <cell r="S322" t="str">
            <v>NULL</v>
          </cell>
          <cell r="T322" t="str">
            <v>NULL</v>
          </cell>
          <cell r="U322" t="str">
            <v>NULL</v>
          </cell>
          <cell r="V322">
            <v>0.17647058823529413</v>
          </cell>
          <cell r="W322">
            <v>0.17647058823529413</v>
          </cell>
          <cell r="X322">
            <v>0.6470588235294118</v>
          </cell>
          <cell r="Y322">
            <v>64</v>
          </cell>
        </row>
        <row r="323">
          <cell r="A323" t="str">
            <v>2023-América</v>
          </cell>
          <cell r="B323" t="str">
            <v>2023-Necaxa</v>
          </cell>
          <cell r="C323">
            <v>2023</v>
          </cell>
          <cell r="D323" t="str">
            <v>América</v>
          </cell>
          <cell r="E323">
            <v>3</v>
          </cell>
          <cell r="F323">
            <v>2</v>
          </cell>
          <cell r="G323" t="str">
            <v>Necaxa</v>
          </cell>
          <cell r="H323">
            <v>84.2</v>
          </cell>
          <cell r="I323">
            <v>8.42</v>
          </cell>
          <cell r="J323">
            <v>25.26</v>
          </cell>
          <cell r="K323">
            <v>25.26</v>
          </cell>
          <cell r="L323">
            <v>25.26</v>
          </cell>
          <cell r="M323">
            <v>0.65217391304347827</v>
          </cell>
          <cell r="N323">
            <v>0.21739130434782608</v>
          </cell>
          <cell r="O323">
            <v>0.13043478260869565</v>
          </cell>
          <cell r="P323">
            <v>133</v>
          </cell>
          <cell r="Q323">
            <v>40</v>
          </cell>
          <cell r="R323">
            <v>4</v>
          </cell>
          <cell r="S323">
            <v>12</v>
          </cell>
          <cell r="T323">
            <v>12</v>
          </cell>
          <cell r="U323">
            <v>12</v>
          </cell>
          <cell r="V323">
            <v>0.27777777777777779</v>
          </cell>
          <cell r="W323">
            <v>0.27777777777777779</v>
          </cell>
          <cell r="X323">
            <v>0.44444444444444442</v>
          </cell>
          <cell r="Y323">
            <v>77</v>
          </cell>
        </row>
        <row r="324">
          <cell r="A324" t="str">
            <v>2023-Necaxa</v>
          </cell>
          <cell r="B324" t="str">
            <v>2023-Tigres</v>
          </cell>
          <cell r="C324">
            <v>2023</v>
          </cell>
          <cell r="D324" t="str">
            <v>Necaxa</v>
          </cell>
          <cell r="E324">
            <v>0</v>
          </cell>
          <cell r="F324">
            <v>3</v>
          </cell>
          <cell r="G324" t="str">
            <v>Tigres</v>
          </cell>
          <cell r="H324">
            <v>40</v>
          </cell>
          <cell r="I324">
            <v>4</v>
          </cell>
          <cell r="J324">
            <v>12</v>
          </cell>
          <cell r="K324">
            <v>12</v>
          </cell>
          <cell r="L324">
            <v>12</v>
          </cell>
          <cell r="M324">
            <v>0.44444444444444442</v>
          </cell>
          <cell r="N324">
            <v>0.22222222222222221</v>
          </cell>
          <cell r="O324">
            <v>0.33333333333333331</v>
          </cell>
          <cell r="P324">
            <v>77</v>
          </cell>
          <cell r="Q324" t="str">
            <v>NULL</v>
          </cell>
          <cell r="R324" t="str">
            <v>NULL</v>
          </cell>
          <cell r="S324" t="str">
            <v>NULL</v>
          </cell>
          <cell r="T324" t="str">
            <v>NULL</v>
          </cell>
          <cell r="U324" t="str">
            <v>NULL</v>
          </cell>
          <cell r="V324">
            <v>0.3</v>
          </cell>
          <cell r="W324">
            <v>0.3</v>
          </cell>
          <cell r="X324">
            <v>0.4</v>
          </cell>
          <cell r="Y324">
            <v>107</v>
          </cell>
        </row>
        <row r="325">
          <cell r="A325" t="str">
            <v>2023-Chivas</v>
          </cell>
          <cell r="B325" t="str">
            <v>2023-Necaxa</v>
          </cell>
          <cell r="C325">
            <v>2023</v>
          </cell>
          <cell r="D325" t="str">
            <v>Chivas</v>
          </cell>
          <cell r="E325">
            <v>2</v>
          </cell>
          <cell r="F325">
            <v>0</v>
          </cell>
          <cell r="G325" t="str">
            <v>Necaxa</v>
          </cell>
          <cell r="H325">
            <v>69.7</v>
          </cell>
          <cell r="I325">
            <v>6.97</v>
          </cell>
          <cell r="J325">
            <v>20.91</v>
          </cell>
          <cell r="K325">
            <v>20.91</v>
          </cell>
          <cell r="L325">
            <v>20.91</v>
          </cell>
          <cell r="M325">
            <v>0.44444444444444442</v>
          </cell>
          <cell r="N325">
            <v>0.33333333333333331</v>
          </cell>
          <cell r="O325">
            <v>0.22222222222222221</v>
          </cell>
          <cell r="P325">
            <v>99</v>
          </cell>
          <cell r="Q325">
            <v>40</v>
          </cell>
          <cell r="R325">
            <v>4</v>
          </cell>
          <cell r="S325">
            <v>12</v>
          </cell>
          <cell r="T325">
            <v>12</v>
          </cell>
          <cell r="U325">
            <v>12</v>
          </cell>
          <cell r="V325">
            <v>0.27777777777777779</v>
          </cell>
          <cell r="W325">
            <v>0.27777777777777779</v>
          </cell>
          <cell r="X325">
            <v>0.44444444444444442</v>
          </cell>
          <cell r="Y325">
            <v>77</v>
          </cell>
        </row>
        <row r="326">
          <cell r="A326" t="str">
            <v>2023-Necaxa</v>
          </cell>
          <cell r="B326" t="str">
            <v>2023-Xolos</v>
          </cell>
          <cell r="C326">
            <v>2023</v>
          </cell>
          <cell r="D326" t="str">
            <v>Necaxa</v>
          </cell>
          <cell r="E326">
            <v>1</v>
          </cell>
          <cell r="F326">
            <v>1</v>
          </cell>
          <cell r="G326" t="str">
            <v>Xolos</v>
          </cell>
          <cell r="H326">
            <v>40</v>
          </cell>
          <cell r="I326">
            <v>4</v>
          </cell>
          <cell r="J326">
            <v>12</v>
          </cell>
          <cell r="K326">
            <v>12</v>
          </cell>
          <cell r="L326">
            <v>12</v>
          </cell>
          <cell r="M326">
            <v>0.44444444444444442</v>
          </cell>
          <cell r="N326">
            <v>0.22222222222222221</v>
          </cell>
          <cell r="O326">
            <v>0.33333333333333331</v>
          </cell>
          <cell r="P326">
            <v>77</v>
          </cell>
          <cell r="Q326" t="str">
            <v>NULL</v>
          </cell>
          <cell r="R326" t="str">
            <v>NULL</v>
          </cell>
          <cell r="S326" t="str">
            <v>NULL</v>
          </cell>
          <cell r="T326" t="str">
            <v>NULL</v>
          </cell>
          <cell r="U326" t="str">
            <v>NULL</v>
          </cell>
          <cell r="V326">
            <v>0.27777777777777779</v>
          </cell>
          <cell r="W326">
            <v>0.22222222222222221</v>
          </cell>
          <cell r="X326">
            <v>0.5</v>
          </cell>
          <cell r="Y326">
            <v>49</v>
          </cell>
        </row>
        <row r="327">
          <cell r="A327" t="str">
            <v>2023-Toluca</v>
          </cell>
          <cell r="B327" t="str">
            <v>2023-Necaxa</v>
          </cell>
          <cell r="C327">
            <v>2023</v>
          </cell>
          <cell r="D327" t="str">
            <v>Toluca</v>
          </cell>
          <cell r="E327">
            <v>0</v>
          </cell>
          <cell r="F327">
            <v>0</v>
          </cell>
          <cell r="G327" t="str">
            <v>Necaxa</v>
          </cell>
          <cell r="H327">
            <v>66.2</v>
          </cell>
          <cell r="I327">
            <v>6.62</v>
          </cell>
          <cell r="J327">
            <v>19.86</v>
          </cell>
          <cell r="K327">
            <v>19.86</v>
          </cell>
          <cell r="L327">
            <v>19.86</v>
          </cell>
          <cell r="M327">
            <v>0.76190476190476186</v>
          </cell>
          <cell r="N327">
            <v>0.19047619047619047</v>
          </cell>
          <cell r="O327">
            <v>4.7619047619047616E-2</v>
          </cell>
          <cell r="P327">
            <v>118</v>
          </cell>
          <cell r="Q327">
            <v>40</v>
          </cell>
          <cell r="R327">
            <v>4</v>
          </cell>
          <cell r="S327">
            <v>12</v>
          </cell>
          <cell r="T327">
            <v>12</v>
          </cell>
          <cell r="U327">
            <v>12</v>
          </cell>
          <cell r="V327">
            <v>0.27777777777777779</v>
          </cell>
          <cell r="W327">
            <v>0.27777777777777779</v>
          </cell>
          <cell r="X327">
            <v>0.44444444444444442</v>
          </cell>
          <cell r="Y327">
            <v>77</v>
          </cell>
        </row>
        <row r="328">
          <cell r="A328" t="str">
            <v>2024-América</v>
          </cell>
          <cell r="B328" t="str">
            <v>2024-Pachuca</v>
          </cell>
          <cell r="C328">
            <v>2024</v>
          </cell>
          <cell r="D328" t="str">
            <v>América</v>
          </cell>
          <cell r="E328">
            <v>1</v>
          </cell>
          <cell r="F328">
            <v>1</v>
          </cell>
          <cell r="G328" t="str">
            <v>Pachuca</v>
          </cell>
          <cell r="H328">
            <v>92.45</v>
          </cell>
          <cell r="I328">
            <v>9.25</v>
          </cell>
          <cell r="J328">
            <v>27.73</v>
          </cell>
          <cell r="K328">
            <v>27.73</v>
          </cell>
          <cell r="L328">
            <v>27.73</v>
          </cell>
          <cell r="M328">
            <v>0.65217391304347827</v>
          </cell>
          <cell r="N328">
            <v>0.21739130434782608</v>
          </cell>
          <cell r="O328">
            <v>0.13043478260869565</v>
          </cell>
          <cell r="P328">
            <v>133</v>
          </cell>
          <cell r="Q328">
            <v>56.6</v>
          </cell>
          <cell r="R328">
            <v>5.66</v>
          </cell>
          <cell r="S328">
            <v>16.98</v>
          </cell>
          <cell r="T328">
            <v>16.98</v>
          </cell>
          <cell r="U328">
            <v>16.98</v>
          </cell>
          <cell r="V328">
            <v>0.26315789473684209</v>
          </cell>
          <cell r="W328">
            <v>0.15789473684210525</v>
          </cell>
          <cell r="X328">
            <v>0.57894736842105265</v>
          </cell>
          <cell r="Y328">
            <v>98</v>
          </cell>
        </row>
        <row r="329">
          <cell r="A329" t="str">
            <v>2024-Pachuca</v>
          </cell>
          <cell r="B329" t="str">
            <v>2024-América</v>
          </cell>
          <cell r="C329">
            <v>2024</v>
          </cell>
          <cell r="D329" t="str">
            <v>Pachuca</v>
          </cell>
          <cell r="E329">
            <v>1</v>
          </cell>
          <cell r="F329">
            <v>1</v>
          </cell>
          <cell r="G329" t="str">
            <v>América</v>
          </cell>
          <cell r="H329">
            <v>56.6</v>
          </cell>
          <cell r="I329">
            <v>5.66</v>
          </cell>
          <cell r="J329">
            <v>16.98</v>
          </cell>
          <cell r="K329">
            <v>16.98</v>
          </cell>
          <cell r="L329">
            <v>16.98</v>
          </cell>
          <cell r="M329">
            <v>0.3888888888888889</v>
          </cell>
          <cell r="N329">
            <v>0.33333333333333331</v>
          </cell>
          <cell r="O329">
            <v>0.27777777777777779</v>
          </cell>
          <cell r="P329">
            <v>98</v>
          </cell>
          <cell r="Q329">
            <v>92.45</v>
          </cell>
          <cell r="R329">
            <v>9.25</v>
          </cell>
          <cell r="S329">
            <v>27.73</v>
          </cell>
          <cell r="T329">
            <v>27.73</v>
          </cell>
          <cell r="U329">
            <v>27.73</v>
          </cell>
          <cell r="V329">
            <v>0.375</v>
          </cell>
          <cell r="W329">
            <v>0.29166666666666669</v>
          </cell>
          <cell r="X329">
            <v>0.33333333333333331</v>
          </cell>
          <cell r="Y329">
            <v>133</v>
          </cell>
        </row>
        <row r="330">
          <cell r="A330" t="str">
            <v>2024-Pachuca</v>
          </cell>
          <cell r="B330" t="str">
            <v>2024-Pumas</v>
          </cell>
          <cell r="C330">
            <v>2024</v>
          </cell>
          <cell r="D330" t="str">
            <v>Pachuca</v>
          </cell>
          <cell r="E330">
            <v>0</v>
          </cell>
          <cell r="F330">
            <v>0</v>
          </cell>
          <cell r="G330" t="str">
            <v>Pumas</v>
          </cell>
          <cell r="H330">
            <v>56.6</v>
          </cell>
          <cell r="I330">
            <v>5.66</v>
          </cell>
          <cell r="J330">
            <v>16.98</v>
          </cell>
          <cell r="K330">
            <v>16.98</v>
          </cell>
          <cell r="L330">
            <v>16.98</v>
          </cell>
          <cell r="M330">
            <v>0.3888888888888889</v>
          </cell>
          <cell r="N330">
            <v>0.33333333333333331</v>
          </cell>
          <cell r="O330">
            <v>0.27777777777777779</v>
          </cell>
          <cell r="P330">
            <v>98</v>
          </cell>
          <cell r="Q330">
            <v>47.6</v>
          </cell>
          <cell r="R330">
            <v>4.76</v>
          </cell>
          <cell r="S330">
            <v>14.28</v>
          </cell>
          <cell r="T330">
            <v>14.28</v>
          </cell>
          <cell r="U330">
            <v>14.28</v>
          </cell>
          <cell r="V330">
            <v>0.3</v>
          </cell>
          <cell r="W330">
            <v>0.25</v>
          </cell>
          <cell r="X330">
            <v>0.45</v>
          </cell>
          <cell r="Y330">
            <v>75</v>
          </cell>
        </row>
        <row r="331">
          <cell r="A331" t="str">
            <v>2024-Pachuca</v>
          </cell>
          <cell r="B331" t="str">
            <v>2024-Mazatlán</v>
          </cell>
          <cell r="C331">
            <v>2024</v>
          </cell>
          <cell r="D331" t="str">
            <v>Pachuca</v>
          </cell>
          <cell r="E331">
            <v>1</v>
          </cell>
          <cell r="F331">
            <v>1</v>
          </cell>
          <cell r="G331" t="str">
            <v>Mazatlán</v>
          </cell>
          <cell r="H331">
            <v>56.6</v>
          </cell>
          <cell r="I331">
            <v>5.66</v>
          </cell>
          <cell r="J331">
            <v>16.98</v>
          </cell>
          <cell r="K331">
            <v>16.98</v>
          </cell>
          <cell r="L331">
            <v>16.98</v>
          </cell>
          <cell r="M331">
            <v>0.3888888888888889</v>
          </cell>
          <cell r="N331">
            <v>0.33333333333333331</v>
          </cell>
          <cell r="O331">
            <v>0.27777777777777779</v>
          </cell>
          <cell r="P331">
            <v>98</v>
          </cell>
          <cell r="Q331">
            <v>31.45</v>
          </cell>
          <cell r="R331">
            <v>3.15</v>
          </cell>
          <cell r="S331">
            <v>9.44</v>
          </cell>
          <cell r="T331">
            <v>9.44</v>
          </cell>
          <cell r="U331">
            <v>9.44</v>
          </cell>
          <cell r="V331">
            <v>5.8823529411764705E-2</v>
          </cell>
          <cell r="W331">
            <v>0.29411764705882354</v>
          </cell>
          <cell r="X331">
            <v>0.6470588235294118</v>
          </cell>
          <cell r="Y331">
            <v>40</v>
          </cell>
        </row>
        <row r="332">
          <cell r="A332" t="str">
            <v>2024-Santos Laguna</v>
          </cell>
          <cell r="B332" t="str">
            <v>2024-Pachuca</v>
          </cell>
          <cell r="C332">
            <v>2024</v>
          </cell>
          <cell r="D332" t="str">
            <v>Santos Laguna</v>
          </cell>
          <cell r="E332">
            <v>0</v>
          </cell>
          <cell r="F332">
            <v>2</v>
          </cell>
          <cell r="G332" t="str">
            <v>Pachuca</v>
          </cell>
          <cell r="H332">
            <v>35.9</v>
          </cell>
          <cell r="I332">
            <v>3.59</v>
          </cell>
          <cell r="J332">
            <v>10.77</v>
          </cell>
          <cell r="K332">
            <v>10.77</v>
          </cell>
          <cell r="L332">
            <v>10.77</v>
          </cell>
          <cell r="M332">
            <v>0.23529411764705882</v>
          </cell>
          <cell r="N332">
            <v>0.17647058823529413</v>
          </cell>
          <cell r="O332">
            <v>0.58823529411764708</v>
          </cell>
          <cell r="P332">
            <v>46</v>
          </cell>
          <cell r="Q332">
            <v>56.6</v>
          </cell>
          <cell r="R332">
            <v>5.66</v>
          </cell>
          <cell r="S332">
            <v>16.98</v>
          </cell>
          <cell r="T332">
            <v>16.98</v>
          </cell>
          <cell r="U332">
            <v>16.98</v>
          </cell>
          <cell r="V332">
            <v>0.26315789473684209</v>
          </cell>
          <cell r="W332">
            <v>0.15789473684210525</v>
          </cell>
          <cell r="X332">
            <v>0.57894736842105265</v>
          </cell>
          <cell r="Y332">
            <v>98</v>
          </cell>
        </row>
        <row r="333">
          <cell r="A333" t="str">
            <v>2024-Pachuca</v>
          </cell>
          <cell r="B333" t="str">
            <v>2024-Chivas</v>
          </cell>
          <cell r="C333">
            <v>2024</v>
          </cell>
          <cell r="D333" t="str">
            <v>Pachuca</v>
          </cell>
          <cell r="E333">
            <v>0</v>
          </cell>
          <cell r="F333">
            <v>1</v>
          </cell>
          <cell r="G333" t="str">
            <v>Chivas</v>
          </cell>
          <cell r="H333">
            <v>56.6</v>
          </cell>
          <cell r="I333">
            <v>5.66</v>
          </cell>
          <cell r="J333">
            <v>16.98</v>
          </cell>
          <cell r="K333">
            <v>16.98</v>
          </cell>
          <cell r="L333">
            <v>16.98</v>
          </cell>
          <cell r="M333">
            <v>0.3888888888888889</v>
          </cell>
          <cell r="N333">
            <v>0.33333333333333331</v>
          </cell>
          <cell r="O333">
            <v>0.27777777777777779</v>
          </cell>
          <cell r="P333">
            <v>98</v>
          </cell>
          <cell r="Q333" t="str">
            <v>NULL</v>
          </cell>
          <cell r="R333" t="str">
            <v>NULL</v>
          </cell>
          <cell r="S333" t="str">
            <v>NULL</v>
          </cell>
          <cell r="T333" t="str">
            <v>NULL</v>
          </cell>
          <cell r="U333" t="str">
            <v>NULL</v>
          </cell>
          <cell r="V333">
            <v>0.23529411764705882</v>
          </cell>
          <cell r="W333">
            <v>0.23529411764705882</v>
          </cell>
          <cell r="X333">
            <v>0.52941176470588236</v>
          </cell>
          <cell r="Y333">
            <v>99</v>
          </cell>
        </row>
        <row r="334">
          <cell r="A334" t="str">
            <v>2024-Tigres</v>
          </cell>
          <cell r="B334" t="str">
            <v>2024-Pachuca</v>
          </cell>
          <cell r="C334">
            <v>2024</v>
          </cell>
          <cell r="D334" t="str">
            <v>Tigres</v>
          </cell>
          <cell r="E334">
            <v>0</v>
          </cell>
          <cell r="F334">
            <v>3</v>
          </cell>
          <cell r="G334" t="str">
            <v>Pachuca</v>
          </cell>
          <cell r="H334">
            <v>67</v>
          </cell>
          <cell r="I334">
            <v>6.7</v>
          </cell>
          <cell r="J334">
            <v>20.100000000000001</v>
          </cell>
          <cell r="K334">
            <v>20.100000000000001</v>
          </cell>
          <cell r="L334">
            <v>20.100000000000001</v>
          </cell>
          <cell r="M334">
            <v>0.7</v>
          </cell>
          <cell r="N334">
            <v>0.25</v>
          </cell>
          <cell r="O334">
            <v>0.05</v>
          </cell>
          <cell r="P334">
            <v>107</v>
          </cell>
          <cell r="Q334">
            <v>56.6</v>
          </cell>
          <cell r="R334">
            <v>5.66</v>
          </cell>
          <cell r="S334">
            <v>16.98</v>
          </cell>
          <cell r="T334">
            <v>16.98</v>
          </cell>
          <cell r="U334">
            <v>16.98</v>
          </cell>
          <cell r="V334">
            <v>0.26315789473684209</v>
          </cell>
          <cell r="W334">
            <v>0.15789473684210525</v>
          </cell>
          <cell r="X334">
            <v>0.57894736842105265</v>
          </cell>
          <cell r="Y334">
            <v>98</v>
          </cell>
        </row>
        <row r="335">
          <cell r="A335" t="str">
            <v>2024-Pachuca</v>
          </cell>
          <cell r="B335" t="str">
            <v>2024-Toluca</v>
          </cell>
          <cell r="C335">
            <v>2024</v>
          </cell>
          <cell r="D335" t="str">
            <v>Pachuca</v>
          </cell>
          <cell r="E335">
            <v>2</v>
          </cell>
          <cell r="F335">
            <v>3</v>
          </cell>
          <cell r="G335" t="str">
            <v>Toluca</v>
          </cell>
          <cell r="H335">
            <v>56.6</v>
          </cell>
          <cell r="I335">
            <v>5.66</v>
          </cell>
          <cell r="J335">
            <v>16.98</v>
          </cell>
          <cell r="K335">
            <v>16.98</v>
          </cell>
          <cell r="L335">
            <v>16.98</v>
          </cell>
          <cell r="M335">
            <v>0.3888888888888889</v>
          </cell>
          <cell r="N335">
            <v>0.33333333333333331</v>
          </cell>
          <cell r="O335">
            <v>0.27777777777777779</v>
          </cell>
          <cell r="P335">
            <v>98</v>
          </cell>
          <cell r="Q335">
            <v>77.45</v>
          </cell>
          <cell r="R335">
            <v>7.75</v>
          </cell>
          <cell r="S335">
            <v>23.24</v>
          </cell>
          <cell r="T335">
            <v>23.24</v>
          </cell>
          <cell r="U335">
            <v>23.24</v>
          </cell>
          <cell r="V335">
            <v>0.38095238095238093</v>
          </cell>
          <cell r="W335">
            <v>0.33333333333333331</v>
          </cell>
          <cell r="X335">
            <v>0.2857142857142857</v>
          </cell>
          <cell r="Y335">
            <v>118</v>
          </cell>
        </row>
        <row r="336">
          <cell r="A336" t="str">
            <v>2024-Atlético San Luis</v>
          </cell>
          <cell r="B336" t="str">
            <v>2024-Pachuca</v>
          </cell>
          <cell r="C336">
            <v>2024</v>
          </cell>
          <cell r="D336" t="str">
            <v>Atlético San Luis</v>
          </cell>
          <cell r="E336">
            <v>2</v>
          </cell>
          <cell r="F336">
            <v>1</v>
          </cell>
          <cell r="G336" t="str">
            <v>Pachuca</v>
          </cell>
          <cell r="H336">
            <v>45.95</v>
          </cell>
          <cell r="I336">
            <v>4.5999999999999996</v>
          </cell>
          <cell r="J336">
            <v>13.84</v>
          </cell>
          <cell r="K336">
            <v>13.84</v>
          </cell>
          <cell r="L336">
            <v>13.84</v>
          </cell>
          <cell r="M336">
            <v>0.68421052631578949</v>
          </cell>
          <cell r="N336">
            <v>5.2631578947368418E-2</v>
          </cell>
          <cell r="O336">
            <v>0.26315789473684209</v>
          </cell>
          <cell r="P336">
            <v>59</v>
          </cell>
          <cell r="Q336">
            <v>56.6</v>
          </cell>
          <cell r="R336">
            <v>5.66</v>
          </cell>
          <cell r="S336">
            <v>16.98</v>
          </cell>
          <cell r="T336">
            <v>16.98</v>
          </cell>
          <cell r="U336">
            <v>16.98</v>
          </cell>
          <cell r="V336">
            <v>0.26315789473684209</v>
          </cell>
          <cell r="W336">
            <v>0.15789473684210525</v>
          </cell>
          <cell r="X336">
            <v>0.57894736842105265</v>
          </cell>
          <cell r="Y336">
            <v>98</v>
          </cell>
        </row>
        <row r="337">
          <cell r="A337" t="str">
            <v>2024-Pachuca</v>
          </cell>
          <cell r="B337" t="str">
            <v>2024-Querétaro</v>
          </cell>
          <cell r="C337">
            <v>2024</v>
          </cell>
          <cell r="D337" t="str">
            <v>Pachuca</v>
          </cell>
          <cell r="E337">
            <v>1</v>
          </cell>
          <cell r="F337">
            <v>2</v>
          </cell>
          <cell r="G337" t="str">
            <v>Querétaro</v>
          </cell>
          <cell r="H337">
            <v>56.6</v>
          </cell>
          <cell r="I337">
            <v>5.66</v>
          </cell>
          <cell r="J337">
            <v>16.98</v>
          </cell>
          <cell r="K337">
            <v>16.98</v>
          </cell>
          <cell r="L337">
            <v>16.98</v>
          </cell>
          <cell r="M337">
            <v>0.3888888888888889</v>
          </cell>
          <cell r="N337">
            <v>0.33333333333333331</v>
          </cell>
          <cell r="O337">
            <v>0.27777777777777779</v>
          </cell>
          <cell r="P337">
            <v>98</v>
          </cell>
          <cell r="Q337" t="str">
            <v>NULL</v>
          </cell>
          <cell r="R337" t="str">
            <v>NULL</v>
          </cell>
          <cell r="S337" t="str">
            <v>NULL</v>
          </cell>
          <cell r="T337" t="str">
            <v>NULL</v>
          </cell>
          <cell r="U337" t="str">
            <v>NULL</v>
          </cell>
          <cell r="V337">
            <v>0.17647058823529413</v>
          </cell>
          <cell r="W337">
            <v>0.17647058823529413</v>
          </cell>
          <cell r="X337">
            <v>0.6470588235294118</v>
          </cell>
          <cell r="Y337">
            <v>64</v>
          </cell>
        </row>
        <row r="338">
          <cell r="A338" t="str">
            <v>2024-Pachuca</v>
          </cell>
          <cell r="B338" t="str">
            <v>2024-Juarez</v>
          </cell>
          <cell r="C338">
            <v>2024</v>
          </cell>
          <cell r="D338" t="str">
            <v>Pachuca</v>
          </cell>
          <cell r="E338">
            <v>3</v>
          </cell>
          <cell r="F338">
            <v>2</v>
          </cell>
          <cell r="G338" t="str">
            <v>Juarez</v>
          </cell>
          <cell r="H338">
            <v>56.6</v>
          </cell>
          <cell r="I338">
            <v>5.66</v>
          </cell>
          <cell r="J338">
            <v>16.98</v>
          </cell>
          <cell r="K338">
            <v>16.98</v>
          </cell>
          <cell r="L338">
            <v>16.98</v>
          </cell>
          <cell r="M338">
            <v>0.3888888888888889</v>
          </cell>
          <cell r="N338">
            <v>0.33333333333333331</v>
          </cell>
          <cell r="O338">
            <v>0.27777777777777779</v>
          </cell>
          <cell r="P338">
            <v>98</v>
          </cell>
          <cell r="Q338" t="str">
            <v>NULL</v>
          </cell>
          <cell r="R338" t="str">
            <v>NULL</v>
          </cell>
          <cell r="S338" t="str">
            <v>NULL</v>
          </cell>
          <cell r="T338" t="str">
            <v>NULL</v>
          </cell>
          <cell r="U338" t="str">
            <v>NULL</v>
          </cell>
          <cell r="V338">
            <v>0.35294117647058826</v>
          </cell>
          <cell r="W338">
            <v>0.17647058823529413</v>
          </cell>
          <cell r="X338">
            <v>0.47058823529411764</v>
          </cell>
          <cell r="Y338">
            <v>55</v>
          </cell>
        </row>
        <row r="339">
          <cell r="A339" t="str">
            <v>2024-Necaxa</v>
          </cell>
          <cell r="B339" t="str">
            <v>2024-Pachuca</v>
          </cell>
          <cell r="C339">
            <v>2024</v>
          </cell>
          <cell r="D339" t="str">
            <v>Necaxa</v>
          </cell>
          <cell r="E339">
            <v>1</v>
          </cell>
          <cell r="F339">
            <v>1</v>
          </cell>
          <cell r="G339" t="str">
            <v>Pachuca</v>
          </cell>
          <cell r="H339">
            <v>38.5</v>
          </cell>
          <cell r="I339">
            <v>3.85</v>
          </cell>
          <cell r="J339">
            <v>11.55</v>
          </cell>
          <cell r="K339">
            <v>11.55</v>
          </cell>
          <cell r="L339">
            <v>11.55</v>
          </cell>
          <cell r="M339">
            <v>0.44444444444444442</v>
          </cell>
          <cell r="N339">
            <v>0.22222222222222221</v>
          </cell>
          <cell r="O339">
            <v>0.33333333333333331</v>
          </cell>
          <cell r="P339">
            <v>77</v>
          </cell>
          <cell r="Q339">
            <v>56.6</v>
          </cell>
          <cell r="R339">
            <v>5.66</v>
          </cell>
          <cell r="S339">
            <v>16.98</v>
          </cell>
          <cell r="T339">
            <v>16.98</v>
          </cell>
          <cell r="U339">
            <v>16.98</v>
          </cell>
          <cell r="V339">
            <v>0.26315789473684209</v>
          </cell>
          <cell r="W339">
            <v>0.15789473684210525</v>
          </cell>
          <cell r="X339">
            <v>0.57894736842105265</v>
          </cell>
          <cell r="Y339">
            <v>98</v>
          </cell>
        </row>
        <row r="340">
          <cell r="A340" t="str">
            <v>2024-Puebla</v>
          </cell>
          <cell r="B340" t="str">
            <v>2024-Pachuca</v>
          </cell>
          <cell r="C340">
            <v>2024</v>
          </cell>
          <cell r="D340" t="str">
            <v>Puebla</v>
          </cell>
          <cell r="E340">
            <v>1</v>
          </cell>
          <cell r="F340">
            <v>4</v>
          </cell>
          <cell r="G340" t="str">
            <v>Pachuca</v>
          </cell>
          <cell r="H340">
            <v>24.1</v>
          </cell>
          <cell r="I340">
            <v>2.41</v>
          </cell>
          <cell r="J340">
            <v>7.23</v>
          </cell>
          <cell r="K340">
            <v>7.23</v>
          </cell>
          <cell r="L340">
            <v>7.23</v>
          </cell>
          <cell r="M340">
            <v>0.23529411764705882</v>
          </cell>
          <cell r="N340">
            <v>0.11764705882352941</v>
          </cell>
          <cell r="O340">
            <v>0.6470588235294118</v>
          </cell>
          <cell r="P340">
            <v>34</v>
          </cell>
          <cell r="Q340">
            <v>56.6</v>
          </cell>
          <cell r="R340">
            <v>5.66</v>
          </cell>
          <cell r="S340">
            <v>16.98</v>
          </cell>
          <cell r="T340">
            <v>16.98</v>
          </cell>
          <cell r="U340">
            <v>16.98</v>
          </cell>
          <cell r="V340">
            <v>0.26315789473684209</v>
          </cell>
          <cell r="W340">
            <v>0.15789473684210525</v>
          </cell>
          <cell r="X340">
            <v>0.57894736842105265</v>
          </cell>
          <cell r="Y340">
            <v>98</v>
          </cell>
        </row>
        <row r="341">
          <cell r="A341" t="str">
            <v>2024-Pachuca</v>
          </cell>
          <cell r="B341" t="str">
            <v>2024-América</v>
          </cell>
          <cell r="C341">
            <v>2024</v>
          </cell>
          <cell r="D341" t="str">
            <v>Pachuca</v>
          </cell>
          <cell r="E341">
            <v>2</v>
          </cell>
          <cell r="F341">
            <v>1</v>
          </cell>
          <cell r="G341" t="str">
            <v>América</v>
          </cell>
          <cell r="H341">
            <v>56.6</v>
          </cell>
          <cell r="I341">
            <v>5.66</v>
          </cell>
          <cell r="J341">
            <v>16.98</v>
          </cell>
          <cell r="K341">
            <v>16.98</v>
          </cell>
          <cell r="L341">
            <v>16.98</v>
          </cell>
          <cell r="M341">
            <v>0.3888888888888889</v>
          </cell>
          <cell r="N341">
            <v>0.33333333333333331</v>
          </cell>
          <cell r="O341">
            <v>0.27777777777777779</v>
          </cell>
          <cell r="P341">
            <v>98</v>
          </cell>
          <cell r="Q341">
            <v>92.45</v>
          </cell>
          <cell r="R341">
            <v>9.25</v>
          </cell>
          <cell r="S341">
            <v>27.73</v>
          </cell>
          <cell r="T341">
            <v>27.73</v>
          </cell>
          <cell r="U341">
            <v>27.73</v>
          </cell>
          <cell r="V341">
            <v>0.375</v>
          </cell>
          <cell r="W341">
            <v>0.29166666666666669</v>
          </cell>
          <cell r="X341">
            <v>0.33333333333333331</v>
          </cell>
          <cell r="Y341">
            <v>133</v>
          </cell>
        </row>
        <row r="342">
          <cell r="A342" t="str">
            <v>2024-Monterrey</v>
          </cell>
          <cell r="B342" t="str">
            <v>2024-Pachuca</v>
          </cell>
          <cell r="C342">
            <v>2024</v>
          </cell>
          <cell r="D342" t="str">
            <v>Monterrey</v>
          </cell>
          <cell r="E342">
            <v>3</v>
          </cell>
          <cell r="F342">
            <v>2</v>
          </cell>
          <cell r="G342" t="str">
            <v>Pachuca</v>
          </cell>
          <cell r="H342">
            <v>88.6</v>
          </cell>
          <cell r="I342">
            <v>8.86</v>
          </cell>
          <cell r="J342">
            <v>26.58</v>
          </cell>
          <cell r="K342">
            <v>26.58</v>
          </cell>
          <cell r="L342">
            <v>26.58</v>
          </cell>
          <cell r="M342">
            <v>0.60869565217391308</v>
          </cell>
          <cell r="N342">
            <v>0.17391304347826086</v>
          </cell>
          <cell r="O342">
            <v>0.21739130434782608</v>
          </cell>
          <cell r="P342">
            <v>118</v>
          </cell>
          <cell r="Q342">
            <v>56.6</v>
          </cell>
          <cell r="R342">
            <v>5.66</v>
          </cell>
          <cell r="S342">
            <v>16.98</v>
          </cell>
          <cell r="T342">
            <v>16.98</v>
          </cell>
          <cell r="U342">
            <v>16.98</v>
          </cell>
          <cell r="V342">
            <v>0.26315789473684209</v>
          </cell>
          <cell r="W342">
            <v>0.15789473684210525</v>
          </cell>
          <cell r="X342">
            <v>0.57894736842105265</v>
          </cell>
          <cell r="Y342">
            <v>98</v>
          </cell>
        </row>
        <row r="343">
          <cell r="A343" t="str">
            <v>2024-Pachuca</v>
          </cell>
          <cell r="B343" t="str">
            <v>2024-León</v>
          </cell>
          <cell r="C343">
            <v>2024</v>
          </cell>
          <cell r="D343" t="str">
            <v>Pachuca</v>
          </cell>
          <cell r="E343">
            <v>3</v>
          </cell>
          <cell r="F343">
            <v>2</v>
          </cell>
          <cell r="G343" t="str">
            <v>León</v>
          </cell>
          <cell r="H343">
            <v>56.6</v>
          </cell>
          <cell r="I343">
            <v>5.66</v>
          </cell>
          <cell r="J343">
            <v>16.98</v>
          </cell>
          <cell r="K343">
            <v>16.98</v>
          </cell>
          <cell r="L343">
            <v>16.98</v>
          </cell>
          <cell r="M343">
            <v>0.3888888888888889</v>
          </cell>
          <cell r="N343">
            <v>0.33333333333333331</v>
          </cell>
          <cell r="O343">
            <v>0.27777777777777779</v>
          </cell>
          <cell r="P343">
            <v>98</v>
          </cell>
          <cell r="Q343">
            <v>29.55</v>
          </cell>
          <cell r="R343">
            <v>2.96</v>
          </cell>
          <cell r="S343">
            <v>8.8699999999999992</v>
          </cell>
          <cell r="T343">
            <v>8.8699999999999992</v>
          </cell>
          <cell r="U343">
            <v>8.8699999999999992</v>
          </cell>
          <cell r="V343">
            <v>0.27777777777777779</v>
          </cell>
          <cell r="W343">
            <v>0.27777777777777779</v>
          </cell>
          <cell r="X343">
            <v>0.44444444444444442</v>
          </cell>
          <cell r="Y343">
            <v>87</v>
          </cell>
        </row>
        <row r="344">
          <cell r="A344" t="str">
            <v>2024-Pachuca</v>
          </cell>
          <cell r="B344" t="str">
            <v>2024-Xolos</v>
          </cell>
          <cell r="C344">
            <v>2024</v>
          </cell>
          <cell r="D344" t="str">
            <v>Pachuca</v>
          </cell>
          <cell r="E344">
            <v>3</v>
          </cell>
          <cell r="F344">
            <v>2</v>
          </cell>
          <cell r="G344" t="str">
            <v>Xolos</v>
          </cell>
          <cell r="H344">
            <v>56.6</v>
          </cell>
          <cell r="I344">
            <v>5.66</v>
          </cell>
          <cell r="J344">
            <v>16.98</v>
          </cell>
          <cell r="K344">
            <v>16.98</v>
          </cell>
          <cell r="L344">
            <v>16.98</v>
          </cell>
          <cell r="M344">
            <v>0.3888888888888889</v>
          </cell>
          <cell r="N344">
            <v>0.33333333333333331</v>
          </cell>
          <cell r="O344">
            <v>0.27777777777777779</v>
          </cell>
          <cell r="P344">
            <v>98</v>
          </cell>
          <cell r="Q344">
            <v>39.15</v>
          </cell>
          <cell r="R344">
            <v>3.92</v>
          </cell>
          <cell r="S344">
            <v>11.75</v>
          </cell>
          <cell r="T344">
            <v>11.75</v>
          </cell>
          <cell r="U344">
            <v>11.75</v>
          </cell>
          <cell r="V344">
            <v>0.27777777777777779</v>
          </cell>
          <cell r="W344">
            <v>0.22222222222222221</v>
          </cell>
          <cell r="X344">
            <v>0.5</v>
          </cell>
          <cell r="Y344">
            <v>49</v>
          </cell>
        </row>
        <row r="345">
          <cell r="A345" t="str">
            <v>2024-Pachuca</v>
          </cell>
          <cell r="B345" t="str">
            <v>2024-Atlas</v>
          </cell>
          <cell r="C345">
            <v>2024</v>
          </cell>
          <cell r="D345" t="str">
            <v>Pachuca</v>
          </cell>
          <cell r="E345">
            <v>4</v>
          </cell>
          <cell r="F345">
            <v>3</v>
          </cell>
          <cell r="G345" t="str">
            <v>Atlas</v>
          </cell>
          <cell r="H345">
            <v>56.6</v>
          </cell>
          <cell r="I345">
            <v>5.66</v>
          </cell>
          <cell r="J345">
            <v>16.98</v>
          </cell>
          <cell r="K345">
            <v>16.98</v>
          </cell>
          <cell r="L345">
            <v>16.98</v>
          </cell>
          <cell r="M345">
            <v>0.3888888888888889</v>
          </cell>
          <cell r="N345">
            <v>0.33333333333333331</v>
          </cell>
          <cell r="O345">
            <v>0.27777777777777779</v>
          </cell>
          <cell r="P345">
            <v>98</v>
          </cell>
          <cell r="Q345">
            <v>28.95</v>
          </cell>
          <cell r="R345">
            <v>2.9</v>
          </cell>
          <cell r="S345">
            <v>8.68</v>
          </cell>
          <cell r="T345">
            <v>8.68</v>
          </cell>
          <cell r="U345">
            <v>8.68</v>
          </cell>
          <cell r="V345">
            <v>0.26315789473684209</v>
          </cell>
          <cell r="W345">
            <v>0.31578947368421051</v>
          </cell>
          <cell r="X345">
            <v>0.42105263157894735</v>
          </cell>
          <cell r="Y345">
            <v>60</v>
          </cell>
        </row>
        <row r="346">
          <cell r="A346" t="str">
            <v>2024-Pumas</v>
          </cell>
          <cell r="B346" t="str">
            <v>2024-Pachuca</v>
          </cell>
          <cell r="C346">
            <v>2024</v>
          </cell>
          <cell r="D346" t="str">
            <v>Pumas</v>
          </cell>
          <cell r="E346">
            <v>3</v>
          </cell>
          <cell r="F346">
            <v>1</v>
          </cell>
          <cell r="G346" t="str">
            <v>Pachuca</v>
          </cell>
          <cell r="H346">
            <v>47.6</v>
          </cell>
          <cell r="I346">
            <v>4.76</v>
          </cell>
          <cell r="J346">
            <v>14.28</v>
          </cell>
          <cell r="K346">
            <v>14.28</v>
          </cell>
          <cell r="L346">
            <v>14.28</v>
          </cell>
          <cell r="M346">
            <v>0.5</v>
          </cell>
          <cell r="N346">
            <v>0.16666666666666666</v>
          </cell>
          <cell r="O346">
            <v>0.33333333333333331</v>
          </cell>
          <cell r="P346">
            <v>75</v>
          </cell>
          <cell r="Q346">
            <v>56.6</v>
          </cell>
          <cell r="R346">
            <v>5.66</v>
          </cell>
          <cell r="S346">
            <v>16.98</v>
          </cell>
          <cell r="T346">
            <v>16.98</v>
          </cell>
          <cell r="U346">
            <v>16.98</v>
          </cell>
          <cell r="V346">
            <v>0.26315789473684209</v>
          </cell>
          <cell r="W346">
            <v>0.15789473684210525</v>
          </cell>
          <cell r="X346">
            <v>0.57894736842105265</v>
          </cell>
          <cell r="Y346">
            <v>98</v>
          </cell>
        </row>
        <row r="347">
          <cell r="A347" t="str">
            <v>2024-Cruz Azul</v>
          </cell>
          <cell r="B347" t="str">
            <v>2024-Pachuca</v>
          </cell>
          <cell r="C347">
            <v>2024</v>
          </cell>
          <cell r="D347" t="str">
            <v>Cruz Azul</v>
          </cell>
          <cell r="E347">
            <v>0</v>
          </cell>
          <cell r="F347">
            <v>1</v>
          </cell>
          <cell r="G347" t="str">
            <v>Pachuca</v>
          </cell>
          <cell r="H347">
            <v>78.849999999999994</v>
          </cell>
          <cell r="I347">
            <v>7.89</v>
          </cell>
          <cell r="J347">
            <v>23.66</v>
          </cell>
          <cell r="K347">
            <v>23.66</v>
          </cell>
          <cell r="L347">
            <v>23.66</v>
          </cell>
          <cell r="M347">
            <v>0.7142857142857143</v>
          </cell>
          <cell r="N347">
            <v>0.23809523809523808</v>
          </cell>
          <cell r="O347">
            <v>4.7619047619047616E-2</v>
          </cell>
          <cell r="P347">
            <v>107</v>
          </cell>
          <cell r="Q347">
            <v>56.6</v>
          </cell>
          <cell r="R347">
            <v>5.66</v>
          </cell>
          <cell r="S347">
            <v>16.98</v>
          </cell>
          <cell r="T347">
            <v>16.98</v>
          </cell>
          <cell r="U347">
            <v>16.98</v>
          </cell>
          <cell r="V347">
            <v>0.26315789473684209</v>
          </cell>
          <cell r="W347">
            <v>0.15789473684210525</v>
          </cell>
          <cell r="X347">
            <v>0.57894736842105265</v>
          </cell>
          <cell r="Y347">
            <v>98</v>
          </cell>
        </row>
        <row r="348">
          <cell r="A348" t="str">
            <v>2023-Xolos</v>
          </cell>
          <cell r="B348" t="str">
            <v>2023-Pachuca</v>
          </cell>
          <cell r="C348">
            <v>2023</v>
          </cell>
          <cell r="D348" t="str">
            <v>Xolos</v>
          </cell>
          <cell r="E348">
            <v>2</v>
          </cell>
          <cell r="F348">
            <v>3</v>
          </cell>
          <cell r="G348" t="str">
            <v>Pachuca</v>
          </cell>
          <cell r="H348">
            <v>38.299999999999997</v>
          </cell>
          <cell r="I348">
            <v>3.83</v>
          </cell>
          <cell r="J348">
            <v>11.49</v>
          </cell>
          <cell r="K348">
            <v>11.49</v>
          </cell>
          <cell r="L348">
            <v>11.49</v>
          </cell>
          <cell r="M348">
            <v>0.55000000000000004</v>
          </cell>
          <cell r="N348">
            <v>0.15</v>
          </cell>
          <cell r="O348">
            <v>0.3</v>
          </cell>
          <cell r="P348">
            <v>49</v>
          </cell>
          <cell r="Q348">
            <v>51.25</v>
          </cell>
          <cell r="R348">
            <v>5.13</v>
          </cell>
          <cell r="S348">
            <v>15.38</v>
          </cell>
          <cell r="T348">
            <v>15.38</v>
          </cell>
          <cell r="U348">
            <v>15.38</v>
          </cell>
          <cell r="V348">
            <v>0.26315789473684209</v>
          </cell>
          <cell r="W348">
            <v>0.15789473684210525</v>
          </cell>
          <cell r="X348">
            <v>0.57894736842105265</v>
          </cell>
          <cell r="Y348">
            <v>98</v>
          </cell>
        </row>
        <row r="349">
          <cell r="A349" t="str">
            <v>2023-Pachuca</v>
          </cell>
          <cell r="B349" t="str">
            <v>2023-Monterrey</v>
          </cell>
          <cell r="C349">
            <v>2023</v>
          </cell>
          <cell r="D349" t="str">
            <v>Pachuca</v>
          </cell>
          <cell r="E349">
            <v>0</v>
          </cell>
          <cell r="F349">
            <v>2</v>
          </cell>
          <cell r="G349" t="str">
            <v>Monterrey</v>
          </cell>
          <cell r="H349">
            <v>51.25</v>
          </cell>
          <cell r="I349">
            <v>5.13</v>
          </cell>
          <cell r="J349">
            <v>15.38</v>
          </cell>
          <cell r="K349">
            <v>15.38</v>
          </cell>
          <cell r="L349">
            <v>15.38</v>
          </cell>
          <cell r="M349">
            <v>0.3888888888888889</v>
          </cell>
          <cell r="N349">
            <v>0.33333333333333331</v>
          </cell>
          <cell r="O349">
            <v>0.27777777777777779</v>
          </cell>
          <cell r="P349">
            <v>98</v>
          </cell>
          <cell r="Q349">
            <v>88.1</v>
          </cell>
          <cell r="R349">
            <v>8.81</v>
          </cell>
          <cell r="S349">
            <v>26.43</v>
          </cell>
          <cell r="T349">
            <v>26.43</v>
          </cell>
          <cell r="U349">
            <v>26.43</v>
          </cell>
          <cell r="V349">
            <v>0.38095238095238093</v>
          </cell>
          <cell r="W349">
            <v>0.23809523809523808</v>
          </cell>
          <cell r="X349">
            <v>0.38095238095238093</v>
          </cell>
          <cell r="Y349">
            <v>118</v>
          </cell>
        </row>
        <row r="350">
          <cell r="A350" t="str">
            <v>2023-Atlas</v>
          </cell>
          <cell r="B350" t="str">
            <v>2023-Pachuca</v>
          </cell>
          <cell r="C350">
            <v>2023</v>
          </cell>
          <cell r="D350" t="str">
            <v>Atlas</v>
          </cell>
          <cell r="E350">
            <v>0</v>
          </cell>
          <cell r="F350">
            <v>2</v>
          </cell>
          <cell r="G350" t="str">
            <v>Pachuca</v>
          </cell>
          <cell r="H350">
            <v>30.7</v>
          </cell>
          <cell r="I350">
            <v>3.07</v>
          </cell>
          <cell r="J350">
            <v>9.2100000000000009</v>
          </cell>
          <cell r="K350">
            <v>9.2100000000000009</v>
          </cell>
          <cell r="L350">
            <v>9.2100000000000009</v>
          </cell>
          <cell r="M350" t="str">
            <v>NULL</v>
          </cell>
          <cell r="N350" t="str">
            <v>NULL</v>
          </cell>
          <cell r="O350" t="str">
            <v>NULL</v>
          </cell>
          <cell r="P350">
            <v>60</v>
          </cell>
          <cell r="Q350">
            <v>51.25</v>
          </cell>
          <cell r="R350">
            <v>5.13</v>
          </cell>
          <cell r="S350">
            <v>15.38</v>
          </cell>
          <cell r="T350">
            <v>15.38</v>
          </cell>
          <cell r="U350">
            <v>15.38</v>
          </cell>
          <cell r="V350">
            <v>0.26315789473684209</v>
          </cell>
          <cell r="W350">
            <v>0.15789473684210525</v>
          </cell>
          <cell r="X350">
            <v>0.57894736842105265</v>
          </cell>
          <cell r="Y350">
            <v>98</v>
          </cell>
        </row>
        <row r="351">
          <cell r="A351" t="str">
            <v>2023-Pachuca</v>
          </cell>
          <cell r="B351" t="str">
            <v>2023-Puebla</v>
          </cell>
          <cell r="C351">
            <v>2023</v>
          </cell>
          <cell r="D351" t="str">
            <v>Pachuca</v>
          </cell>
          <cell r="E351">
            <v>1</v>
          </cell>
          <cell r="F351">
            <v>1</v>
          </cell>
          <cell r="G351" t="str">
            <v>Puebla</v>
          </cell>
          <cell r="H351">
            <v>51.25</v>
          </cell>
          <cell r="I351">
            <v>5.13</v>
          </cell>
          <cell r="J351">
            <v>15.38</v>
          </cell>
          <cell r="K351">
            <v>15.38</v>
          </cell>
          <cell r="L351">
            <v>15.38</v>
          </cell>
          <cell r="M351">
            <v>0.3888888888888889</v>
          </cell>
          <cell r="N351">
            <v>0.33333333333333331</v>
          </cell>
          <cell r="O351">
            <v>0.27777777777777779</v>
          </cell>
          <cell r="P351">
            <v>98</v>
          </cell>
          <cell r="Q351">
            <v>26.7</v>
          </cell>
          <cell r="R351">
            <v>2.67</v>
          </cell>
          <cell r="S351">
            <v>8.01</v>
          </cell>
          <cell r="T351">
            <v>8.01</v>
          </cell>
          <cell r="U351">
            <v>8.01</v>
          </cell>
          <cell r="V351">
            <v>0.11764705882352941</v>
          </cell>
          <cell r="W351">
            <v>0.17647058823529413</v>
          </cell>
          <cell r="X351">
            <v>0.70588235294117652</v>
          </cell>
          <cell r="Y351">
            <v>34</v>
          </cell>
        </row>
        <row r="352">
          <cell r="A352" t="str">
            <v>2023-Pachuca</v>
          </cell>
          <cell r="B352" t="str">
            <v>2023-Tigres</v>
          </cell>
          <cell r="C352">
            <v>2023</v>
          </cell>
          <cell r="D352" t="str">
            <v>Pachuca</v>
          </cell>
          <cell r="E352">
            <v>1</v>
          </cell>
          <cell r="F352">
            <v>1</v>
          </cell>
          <cell r="G352" t="str">
            <v>Tigres</v>
          </cell>
          <cell r="H352">
            <v>51.25</v>
          </cell>
          <cell r="I352">
            <v>5.13</v>
          </cell>
          <cell r="J352">
            <v>15.38</v>
          </cell>
          <cell r="K352">
            <v>15.38</v>
          </cell>
          <cell r="L352">
            <v>15.38</v>
          </cell>
          <cell r="M352">
            <v>0.3888888888888889</v>
          </cell>
          <cell r="N352">
            <v>0.33333333333333331</v>
          </cell>
          <cell r="O352">
            <v>0.27777777777777779</v>
          </cell>
          <cell r="P352">
            <v>98</v>
          </cell>
          <cell r="Q352" t="str">
            <v>NULL</v>
          </cell>
          <cell r="R352" t="str">
            <v>NULL</v>
          </cell>
          <cell r="S352" t="str">
            <v>NULL</v>
          </cell>
          <cell r="T352" t="str">
            <v>NULL</v>
          </cell>
          <cell r="U352" t="str">
            <v>NULL</v>
          </cell>
          <cell r="V352">
            <v>0.3</v>
          </cell>
          <cell r="W352">
            <v>0.3</v>
          </cell>
          <cell r="X352">
            <v>0.4</v>
          </cell>
          <cell r="Y352">
            <v>107</v>
          </cell>
        </row>
        <row r="353">
          <cell r="A353" t="str">
            <v>2023-América</v>
          </cell>
          <cell r="B353" t="str">
            <v>2023-Pachuca</v>
          </cell>
          <cell r="C353">
            <v>2023</v>
          </cell>
          <cell r="D353" t="str">
            <v>América</v>
          </cell>
          <cell r="E353">
            <v>4</v>
          </cell>
          <cell r="F353">
            <v>0</v>
          </cell>
          <cell r="G353" t="str">
            <v>Pachuca</v>
          </cell>
          <cell r="H353">
            <v>84.2</v>
          </cell>
          <cell r="I353">
            <v>8.42</v>
          </cell>
          <cell r="J353">
            <v>25.26</v>
          </cell>
          <cell r="K353">
            <v>25.26</v>
          </cell>
          <cell r="L353">
            <v>25.26</v>
          </cell>
          <cell r="M353">
            <v>0.65217391304347827</v>
          </cell>
          <cell r="N353">
            <v>0.21739130434782608</v>
          </cell>
          <cell r="O353">
            <v>0.13043478260869565</v>
          </cell>
          <cell r="P353">
            <v>133</v>
          </cell>
          <cell r="Q353">
            <v>51.25</v>
          </cell>
          <cell r="R353">
            <v>5.13</v>
          </cell>
          <cell r="S353">
            <v>15.38</v>
          </cell>
          <cell r="T353">
            <v>15.38</v>
          </cell>
          <cell r="U353">
            <v>15.38</v>
          </cell>
          <cell r="V353">
            <v>0.26315789473684209</v>
          </cell>
          <cell r="W353">
            <v>0.15789473684210525</v>
          </cell>
          <cell r="X353">
            <v>0.57894736842105265</v>
          </cell>
          <cell r="Y353">
            <v>98</v>
          </cell>
        </row>
        <row r="354">
          <cell r="A354" t="str">
            <v>2023-Chivas</v>
          </cell>
          <cell r="B354" t="str">
            <v>2023-Pachuca</v>
          </cell>
          <cell r="C354">
            <v>2023</v>
          </cell>
          <cell r="D354" t="str">
            <v>Chivas</v>
          </cell>
          <cell r="E354">
            <v>0</v>
          </cell>
          <cell r="F354">
            <v>0</v>
          </cell>
          <cell r="G354" t="str">
            <v>Pachuca</v>
          </cell>
          <cell r="H354">
            <v>69.7</v>
          </cell>
          <cell r="I354">
            <v>6.97</v>
          </cell>
          <cell r="J354">
            <v>20.91</v>
          </cell>
          <cell r="K354">
            <v>20.91</v>
          </cell>
          <cell r="L354">
            <v>20.91</v>
          </cell>
          <cell r="M354">
            <v>0.44444444444444442</v>
          </cell>
          <cell r="N354">
            <v>0.33333333333333331</v>
          </cell>
          <cell r="O354">
            <v>0.22222222222222221</v>
          </cell>
          <cell r="P354">
            <v>99</v>
          </cell>
          <cell r="Q354">
            <v>51.25</v>
          </cell>
          <cell r="R354">
            <v>5.13</v>
          </cell>
          <cell r="S354">
            <v>15.38</v>
          </cell>
          <cell r="T354">
            <v>15.38</v>
          </cell>
          <cell r="U354">
            <v>15.38</v>
          </cell>
          <cell r="V354">
            <v>0.26315789473684209</v>
          </cell>
          <cell r="W354">
            <v>0.15789473684210525</v>
          </cell>
          <cell r="X354">
            <v>0.57894736842105265</v>
          </cell>
          <cell r="Y354">
            <v>98</v>
          </cell>
        </row>
        <row r="355">
          <cell r="A355" t="str">
            <v>2023-Pachuca</v>
          </cell>
          <cell r="B355" t="str">
            <v>2023-Santos Laguna</v>
          </cell>
          <cell r="C355">
            <v>2023</v>
          </cell>
          <cell r="D355" t="str">
            <v>Pachuca</v>
          </cell>
          <cell r="E355">
            <v>3</v>
          </cell>
          <cell r="F355">
            <v>2</v>
          </cell>
          <cell r="G355" t="str">
            <v>Santos Laguna</v>
          </cell>
          <cell r="H355">
            <v>51.25</v>
          </cell>
          <cell r="I355">
            <v>5.13</v>
          </cell>
          <cell r="J355">
            <v>15.38</v>
          </cell>
          <cell r="K355">
            <v>15.38</v>
          </cell>
          <cell r="L355">
            <v>15.38</v>
          </cell>
          <cell r="M355">
            <v>0.3888888888888889</v>
          </cell>
          <cell r="N355">
            <v>0.33333333333333331</v>
          </cell>
          <cell r="O355">
            <v>0.27777777777777779</v>
          </cell>
          <cell r="P355">
            <v>98</v>
          </cell>
          <cell r="Q355" t="str">
            <v>NULL</v>
          </cell>
          <cell r="R355" t="str">
            <v>NULL</v>
          </cell>
          <cell r="S355" t="str">
            <v>NULL</v>
          </cell>
          <cell r="T355" t="str">
            <v>NULL</v>
          </cell>
          <cell r="U355" t="str">
            <v>NULL</v>
          </cell>
          <cell r="V355">
            <v>0</v>
          </cell>
          <cell r="W355">
            <v>0.11764705882352941</v>
          </cell>
          <cell r="X355">
            <v>0.88235294117647056</v>
          </cell>
          <cell r="Y355">
            <v>46</v>
          </cell>
        </row>
        <row r="356">
          <cell r="A356" t="str">
            <v>2023-Toluca</v>
          </cell>
          <cell r="B356" t="str">
            <v>2023-Pachuca</v>
          </cell>
          <cell r="C356">
            <v>2023</v>
          </cell>
          <cell r="D356" t="str">
            <v>Toluca</v>
          </cell>
          <cell r="E356">
            <v>5</v>
          </cell>
          <cell r="F356">
            <v>0</v>
          </cell>
          <cell r="G356" t="str">
            <v>Pachuca</v>
          </cell>
          <cell r="H356">
            <v>66.2</v>
          </cell>
          <cell r="I356">
            <v>6.62</v>
          </cell>
          <cell r="J356">
            <v>19.86</v>
          </cell>
          <cell r="K356">
            <v>19.86</v>
          </cell>
          <cell r="L356">
            <v>19.86</v>
          </cell>
          <cell r="M356">
            <v>0.76190476190476186</v>
          </cell>
          <cell r="N356">
            <v>0.19047619047619047</v>
          </cell>
          <cell r="O356">
            <v>4.7619047619047616E-2</v>
          </cell>
          <cell r="P356">
            <v>118</v>
          </cell>
          <cell r="Q356">
            <v>51.25</v>
          </cell>
          <cell r="R356">
            <v>5.13</v>
          </cell>
          <cell r="S356">
            <v>15.38</v>
          </cell>
          <cell r="T356">
            <v>15.38</v>
          </cell>
          <cell r="U356">
            <v>15.38</v>
          </cell>
          <cell r="V356">
            <v>0.26315789473684209</v>
          </cell>
          <cell r="W356">
            <v>0.15789473684210525</v>
          </cell>
          <cell r="X356">
            <v>0.57894736842105265</v>
          </cell>
          <cell r="Y356">
            <v>98</v>
          </cell>
        </row>
        <row r="357">
          <cell r="A357" t="str">
            <v>2023-Pachuca</v>
          </cell>
          <cell r="B357" t="str">
            <v>2023-Atlético San Luis</v>
          </cell>
          <cell r="C357">
            <v>2023</v>
          </cell>
          <cell r="D357" t="str">
            <v>Pachuca</v>
          </cell>
          <cell r="E357">
            <v>0</v>
          </cell>
          <cell r="F357">
            <v>2</v>
          </cell>
          <cell r="G357" t="str">
            <v>Atlético San Luis</v>
          </cell>
          <cell r="H357">
            <v>51.25</v>
          </cell>
          <cell r="I357">
            <v>5.13</v>
          </cell>
          <cell r="J357">
            <v>15.38</v>
          </cell>
          <cell r="K357">
            <v>15.38</v>
          </cell>
          <cell r="L357">
            <v>15.38</v>
          </cell>
          <cell r="M357">
            <v>0.3888888888888889</v>
          </cell>
          <cell r="N357">
            <v>0.33333333333333331</v>
          </cell>
          <cell r="O357">
            <v>0.27777777777777779</v>
          </cell>
          <cell r="P357">
            <v>98</v>
          </cell>
          <cell r="Q357">
            <v>35.85</v>
          </cell>
          <cell r="R357">
            <v>3.59</v>
          </cell>
          <cell r="S357">
            <v>10.77</v>
          </cell>
          <cell r="T357">
            <v>10.77</v>
          </cell>
          <cell r="U357">
            <v>10.77</v>
          </cell>
          <cell r="V357">
            <v>0.21052631578947367</v>
          </cell>
          <cell r="W357">
            <v>0.15789473684210525</v>
          </cell>
          <cell r="X357">
            <v>0.63157894736842102</v>
          </cell>
          <cell r="Y357">
            <v>59</v>
          </cell>
        </row>
        <row r="358">
          <cell r="A358" t="str">
            <v>2023-Pachuca</v>
          </cell>
          <cell r="B358" t="str">
            <v>2023-Cruz Azul</v>
          </cell>
          <cell r="C358">
            <v>2023</v>
          </cell>
          <cell r="D358" t="str">
            <v>Pachuca</v>
          </cell>
          <cell r="E358">
            <v>1</v>
          </cell>
          <cell r="F358">
            <v>0</v>
          </cell>
          <cell r="G358" t="str">
            <v>Cruz Azul</v>
          </cell>
          <cell r="H358">
            <v>51.25</v>
          </cell>
          <cell r="I358">
            <v>5.13</v>
          </cell>
          <cell r="J358">
            <v>15.38</v>
          </cell>
          <cell r="K358">
            <v>15.38</v>
          </cell>
          <cell r="L358">
            <v>15.38</v>
          </cell>
          <cell r="M358">
            <v>0.3888888888888889</v>
          </cell>
          <cell r="N358">
            <v>0.33333333333333331</v>
          </cell>
          <cell r="O358">
            <v>0.27777777777777779</v>
          </cell>
          <cell r="P358">
            <v>98</v>
          </cell>
          <cell r="Q358">
            <v>72.2</v>
          </cell>
          <cell r="R358">
            <v>7.22</v>
          </cell>
          <cell r="S358">
            <v>21.66</v>
          </cell>
          <cell r="T358">
            <v>21.66</v>
          </cell>
          <cell r="U358">
            <v>21.66</v>
          </cell>
          <cell r="V358">
            <v>0.52380952380952384</v>
          </cell>
          <cell r="W358">
            <v>0.23809523809523808</v>
          </cell>
          <cell r="X358">
            <v>0.23809523809523808</v>
          </cell>
          <cell r="Y358">
            <v>107</v>
          </cell>
        </row>
        <row r="359">
          <cell r="A359" t="str">
            <v>2023-Querétaro</v>
          </cell>
          <cell r="B359" t="str">
            <v>2023-Pachuca</v>
          </cell>
          <cell r="C359">
            <v>2023</v>
          </cell>
          <cell r="D359" t="str">
            <v>Querétaro</v>
          </cell>
          <cell r="E359">
            <v>1</v>
          </cell>
          <cell r="F359">
            <v>1</v>
          </cell>
          <cell r="G359" t="str">
            <v>Pachuca</v>
          </cell>
          <cell r="H359">
            <v>21.45</v>
          </cell>
          <cell r="I359">
            <v>2.14</v>
          </cell>
          <cell r="J359">
            <v>6.44</v>
          </cell>
          <cell r="K359">
            <v>6.44</v>
          </cell>
          <cell r="L359">
            <v>6.44</v>
          </cell>
          <cell r="M359">
            <v>0.35294117647058826</v>
          </cell>
          <cell r="N359">
            <v>0.11764705882352941</v>
          </cell>
          <cell r="O359">
            <v>0.52941176470588236</v>
          </cell>
          <cell r="P359">
            <v>64</v>
          </cell>
          <cell r="Q359">
            <v>51.25</v>
          </cell>
          <cell r="R359">
            <v>5.13</v>
          </cell>
          <cell r="S359">
            <v>15.38</v>
          </cell>
          <cell r="T359">
            <v>15.38</v>
          </cell>
          <cell r="U359">
            <v>15.38</v>
          </cell>
          <cell r="V359">
            <v>0.26315789473684209</v>
          </cell>
          <cell r="W359">
            <v>0.15789473684210525</v>
          </cell>
          <cell r="X359">
            <v>0.57894736842105265</v>
          </cell>
          <cell r="Y359">
            <v>98</v>
          </cell>
        </row>
        <row r="360">
          <cell r="A360" t="str">
            <v>2023-Pachuca</v>
          </cell>
          <cell r="B360" t="str">
            <v>2023-Pumas</v>
          </cell>
          <cell r="C360">
            <v>2023</v>
          </cell>
          <cell r="D360" t="str">
            <v>Pachuca</v>
          </cell>
          <cell r="E360">
            <v>1</v>
          </cell>
          <cell r="F360">
            <v>1</v>
          </cell>
          <cell r="G360" t="str">
            <v>Pumas</v>
          </cell>
          <cell r="H360">
            <v>51.25</v>
          </cell>
          <cell r="I360">
            <v>5.13</v>
          </cell>
          <cell r="J360">
            <v>15.38</v>
          </cell>
          <cell r="K360">
            <v>15.38</v>
          </cell>
          <cell r="L360">
            <v>15.38</v>
          </cell>
          <cell r="M360">
            <v>0.3888888888888889</v>
          </cell>
          <cell r="N360">
            <v>0.33333333333333331</v>
          </cell>
          <cell r="O360">
            <v>0.27777777777777779</v>
          </cell>
          <cell r="P360">
            <v>98</v>
          </cell>
          <cell r="Q360" t="str">
            <v>NULL</v>
          </cell>
          <cell r="R360" t="str">
            <v>NULL</v>
          </cell>
          <cell r="S360" t="str">
            <v>NULL</v>
          </cell>
          <cell r="T360" t="str">
            <v>NULL</v>
          </cell>
          <cell r="U360" t="str">
            <v>NULL</v>
          </cell>
          <cell r="V360">
            <v>0.3</v>
          </cell>
          <cell r="W360">
            <v>0.25</v>
          </cell>
          <cell r="X360">
            <v>0.45</v>
          </cell>
          <cell r="Y360">
            <v>75</v>
          </cell>
        </row>
        <row r="361">
          <cell r="A361" t="str">
            <v>2023-León</v>
          </cell>
          <cell r="B361" t="str">
            <v>2023-Pachuca</v>
          </cell>
          <cell r="C361">
            <v>2023</v>
          </cell>
          <cell r="D361" t="str">
            <v>León</v>
          </cell>
          <cell r="E361">
            <v>4</v>
          </cell>
          <cell r="F361">
            <v>0</v>
          </cell>
          <cell r="G361" t="str">
            <v>Pachuca</v>
          </cell>
          <cell r="H361">
            <v>41.5</v>
          </cell>
          <cell r="I361">
            <v>4.1500000000000004</v>
          </cell>
          <cell r="J361">
            <v>12.45</v>
          </cell>
          <cell r="K361">
            <v>12.45</v>
          </cell>
          <cell r="L361">
            <v>12.45</v>
          </cell>
          <cell r="M361">
            <v>0.3888888888888889</v>
          </cell>
          <cell r="N361">
            <v>0.3888888888888889</v>
          </cell>
          <cell r="O361">
            <v>0.22222222222222221</v>
          </cell>
          <cell r="P361">
            <v>87</v>
          </cell>
          <cell r="Q361">
            <v>51.25</v>
          </cell>
          <cell r="R361">
            <v>5.13</v>
          </cell>
          <cell r="S361">
            <v>15.38</v>
          </cell>
          <cell r="T361">
            <v>15.38</v>
          </cell>
          <cell r="U361">
            <v>15.38</v>
          </cell>
          <cell r="V361">
            <v>0.26315789473684209</v>
          </cell>
          <cell r="W361">
            <v>0.15789473684210525</v>
          </cell>
          <cell r="X361">
            <v>0.57894736842105265</v>
          </cell>
          <cell r="Y361">
            <v>98</v>
          </cell>
        </row>
        <row r="362">
          <cell r="A362" t="str">
            <v>2023-Mazatlán</v>
          </cell>
          <cell r="B362" t="str">
            <v>2023-Pachuca</v>
          </cell>
          <cell r="C362">
            <v>2023</v>
          </cell>
          <cell r="D362" t="str">
            <v>Mazatlán</v>
          </cell>
          <cell r="E362">
            <v>1</v>
          </cell>
          <cell r="F362">
            <v>1</v>
          </cell>
          <cell r="G362" t="str">
            <v>Pachuca</v>
          </cell>
          <cell r="H362">
            <v>35.049999999999997</v>
          </cell>
          <cell r="I362">
            <v>3.5</v>
          </cell>
          <cell r="J362">
            <v>10.51</v>
          </cell>
          <cell r="K362">
            <v>10.51</v>
          </cell>
          <cell r="L362">
            <v>10.51</v>
          </cell>
          <cell r="M362">
            <v>0.29411764705882354</v>
          </cell>
          <cell r="N362">
            <v>0.47058823529411764</v>
          </cell>
          <cell r="O362">
            <v>0.23529411764705882</v>
          </cell>
          <cell r="P362">
            <v>40</v>
          </cell>
          <cell r="Q362">
            <v>51.25</v>
          </cell>
          <cell r="R362">
            <v>5.13</v>
          </cell>
          <cell r="S362">
            <v>15.38</v>
          </cell>
          <cell r="T362">
            <v>15.38</v>
          </cell>
          <cell r="U362">
            <v>15.38</v>
          </cell>
          <cell r="V362">
            <v>0.26315789473684209</v>
          </cell>
          <cell r="W362">
            <v>0.15789473684210525</v>
          </cell>
          <cell r="X362">
            <v>0.57894736842105265</v>
          </cell>
          <cell r="Y362">
            <v>98</v>
          </cell>
        </row>
        <row r="363">
          <cell r="A363" t="str">
            <v>2024-Puebla</v>
          </cell>
          <cell r="B363" t="str">
            <v>2024-América</v>
          </cell>
          <cell r="C363">
            <v>2024</v>
          </cell>
          <cell r="D363" t="str">
            <v>Puebla</v>
          </cell>
          <cell r="E363">
            <v>1</v>
          </cell>
          <cell r="F363">
            <v>2</v>
          </cell>
          <cell r="G363" t="str">
            <v>América</v>
          </cell>
          <cell r="H363">
            <v>24.1</v>
          </cell>
          <cell r="I363">
            <v>2.41</v>
          </cell>
          <cell r="J363">
            <v>7.23</v>
          </cell>
          <cell r="K363">
            <v>7.23</v>
          </cell>
          <cell r="L363">
            <v>7.23</v>
          </cell>
          <cell r="M363">
            <v>0.23529411764705882</v>
          </cell>
          <cell r="N363">
            <v>0.11764705882352941</v>
          </cell>
          <cell r="O363">
            <v>0.6470588235294118</v>
          </cell>
          <cell r="P363">
            <v>34</v>
          </cell>
          <cell r="Q363">
            <v>92.45</v>
          </cell>
          <cell r="R363">
            <v>9.25</v>
          </cell>
          <cell r="S363">
            <v>27.73</v>
          </cell>
          <cell r="T363">
            <v>27.73</v>
          </cell>
          <cell r="U363">
            <v>27.73</v>
          </cell>
          <cell r="V363">
            <v>0.375</v>
          </cell>
          <cell r="W363">
            <v>0.29166666666666669</v>
          </cell>
          <cell r="X363">
            <v>0.33333333333333331</v>
          </cell>
          <cell r="Y363">
            <v>133</v>
          </cell>
        </row>
        <row r="364">
          <cell r="A364" t="str">
            <v>2024-Xolos</v>
          </cell>
          <cell r="B364" t="str">
            <v>2024-Puebla</v>
          </cell>
          <cell r="C364">
            <v>2024</v>
          </cell>
          <cell r="D364" t="str">
            <v>Xolos</v>
          </cell>
          <cell r="E364">
            <v>3</v>
          </cell>
          <cell r="F364">
            <v>1</v>
          </cell>
          <cell r="G364" t="str">
            <v>Puebla</v>
          </cell>
          <cell r="H364" t="str">
            <v>NULL</v>
          </cell>
          <cell r="I364" t="str">
            <v>NULL</v>
          </cell>
          <cell r="J364" t="str">
            <v>NULL</v>
          </cell>
          <cell r="K364" t="str">
            <v>NULL</v>
          </cell>
          <cell r="L364" t="str">
            <v>NULL</v>
          </cell>
          <cell r="M364">
            <v>0.55000000000000004</v>
          </cell>
          <cell r="N364">
            <v>0.15</v>
          </cell>
          <cell r="O364">
            <v>0.3</v>
          </cell>
          <cell r="P364">
            <v>49</v>
          </cell>
          <cell r="Q364">
            <v>24.1</v>
          </cell>
          <cell r="R364">
            <v>2.41</v>
          </cell>
          <cell r="S364">
            <v>7.23</v>
          </cell>
          <cell r="T364">
            <v>7.23</v>
          </cell>
          <cell r="U364">
            <v>7.23</v>
          </cell>
          <cell r="V364">
            <v>0.11764705882352941</v>
          </cell>
          <cell r="W364">
            <v>0.17647058823529413</v>
          </cell>
          <cell r="X364">
            <v>0.70588235294117652</v>
          </cell>
          <cell r="Y364">
            <v>34</v>
          </cell>
        </row>
        <row r="365">
          <cell r="A365" t="str">
            <v>2024-Puebla</v>
          </cell>
          <cell r="B365" t="str">
            <v>2024-Cruz Azul</v>
          </cell>
          <cell r="C365">
            <v>2024</v>
          </cell>
          <cell r="D365" t="str">
            <v>Puebla</v>
          </cell>
          <cell r="E365">
            <v>0</v>
          </cell>
          <cell r="F365">
            <v>1</v>
          </cell>
          <cell r="G365" t="str">
            <v>Cruz Azul</v>
          </cell>
          <cell r="H365">
            <v>24.1</v>
          </cell>
          <cell r="I365">
            <v>2.41</v>
          </cell>
          <cell r="J365">
            <v>7.23</v>
          </cell>
          <cell r="K365">
            <v>7.23</v>
          </cell>
          <cell r="L365">
            <v>7.23</v>
          </cell>
          <cell r="M365">
            <v>0.23529411764705882</v>
          </cell>
          <cell r="N365">
            <v>0.11764705882352941</v>
          </cell>
          <cell r="O365">
            <v>0.6470588235294118</v>
          </cell>
          <cell r="P365">
            <v>34</v>
          </cell>
          <cell r="Q365">
            <v>78.849999999999994</v>
          </cell>
          <cell r="R365">
            <v>7.89</v>
          </cell>
          <cell r="S365">
            <v>23.66</v>
          </cell>
          <cell r="T365">
            <v>23.66</v>
          </cell>
          <cell r="U365">
            <v>23.66</v>
          </cell>
          <cell r="V365">
            <v>0.52380952380952384</v>
          </cell>
          <cell r="W365">
            <v>0.23809523809523808</v>
          </cell>
          <cell r="X365">
            <v>0.23809523809523808</v>
          </cell>
          <cell r="Y365">
            <v>107</v>
          </cell>
        </row>
        <row r="366">
          <cell r="A366" t="str">
            <v>2024-Chivas</v>
          </cell>
          <cell r="B366" t="str">
            <v>2024-Puebla</v>
          </cell>
          <cell r="C366">
            <v>2024</v>
          </cell>
          <cell r="D366" t="str">
            <v>Chivas</v>
          </cell>
          <cell r="E366">
            <v>3</v>
          </cell>
          <cell r="F366">
            <v>2</v>
          </cell>
          <cell r="G366" t="str">
            <v>Puebla</v>
          </cell>
          <cell r="H366">
            <v>70.2</v>
          </cell>
          <cell r="I366">
            <v>7.02</v>
          </cell>
          <cell r="J366">
            <v>21.06</v>
          </cell>
          <cell r="K366">
            <v>21.06</v>
          </cell>
          <cell r="L366">
            <v>21.06</v>
          </cell>
          <cell r="M366">
            <v>0.44444444444444442</v>
          </cell>
          <cell r="N366">
            <v>0.33333333333333331</v>
          </cell>
          <cell r="O366">
            <v>0.22222222222222221</v>
          </cell>
          <cell r="P366">
            <v>99</v>
          </cell>
          <cell r="Q366">
            <v>24.1</v>
          </cell>
          <cell r="R366">
            <v>2.41</v>
          </cell>
          <cell r="S366">
            <v>7.23</v>
          </cell>
          <cell r="T366">
            <v>7.23</v>
          </cell>
          <cell r="U366">
            <v>7.23</v>
          </cell>
          <cell r="V366">
            <v>0.11764705882352941</v>
          </cell>
          <cell r="W366">
            <v>0.17647058823529413</v>
          </cell>
          <cell r="X366">
            <v>0.70588235294117652</v>
          </cell>
          <cell r="Y366">
            <v>34</v>
          </cell>
        </row>
        <row r="367">
          <cell r="A367" t="str">
            <v>2024-Puebla</v>
          </cell>
          <cell r="B367" t="str">
            <v>2024-Tigres</v>
          </cell>
          <cell r="C367">
            <v>2024</v>
          </cell>
          <cell r="D367" t="str">
            <v>Puebla</v>
          </cell>
          <cell r="E367">
            <v>2</v>
          </cell>
          <cell r="F367">
            <v>3</v>
          </cell>
          <cell r="G367" t="str">
            <v>Tigres</v>
          </cell>
          <cell r="H367">
            <v>24.1</v>
          </cell>
          <cell r="I367">
            <v>2.41</v>
          </cell>
          <cell r="J367">
            <v>7.23</v>
          </cell>
          <cell r="K367">
            <v>7.23</v>
          </cell>
          <cell r="L367">
            <v>7.23</v>
          </cell>
          <cell r="M367">
            <v>0.23529411764705882</v>
          </cell>
          <cell r="N367">
            <v>0.11764705882352941</v>
          </cell>
          <cell r="O367">
            <v>0.6470588235294118</v>
          </cell>
          <cell r="P367">
            <v>34</v>
          </cell>
          <cell r="Q367" t="str">
            <v>NULL</v>
          </cell>
          <cell r="R367" t="str">
            <v>NULL</v>
          </cell>
          <cell r="S367" t="str">
            <v>NULL</v>
          </cell>
          <cell r="T367" t="str">
            <v>NULL</v>
          </cell>
          <cell r="U367" t="str">
            <v>NULL</v>
          </cell>
          <cell r="V367">
            <v>0.3</v>
          </cell>
          <cell r="W367">
            <v>0.3</v>
          </cell>
          <cell r="X367">
            <v>0.4</v>
          </cell>
          <cell r="Y367">
            <v>107</v>
          </cell>
        </row>
        <row r="368">
          <cell r="A368" t="str">
            <v>2024-Juarez</v>
          </cell>
          <cell r="B368" t="str">
            <v>2024-Puebla</v>
          </cell>
          <cell r="C368">
            <v>2024</v>
          </cell>
          <cell r="D368" t="str">
            <v>Juarez</v>
          </cell>
          <cell r="E368">
            <v>4</v>
          </cell>
          <cell r="F368">
            <v>3</v>
          </cell>
          <cell r="G368" t="str">
            <v>Puebla</v>
          </cell>
          <cell r="H368" t="str">
            <v>NULL</v>
          </cell>
          <cell r="I368" t="str">
            <v>NULL</v>
          </cell>
          <cell r="J368" t="str">
            <v>NULL</v>
          </cell>
          <cell r="K368" t="str">
            <v>NULL</v>
          </cell>
          <cell r="L368" t="str">
            <v>NULL</v>
          </cell>
          <cell r="M368">
            <v>0.27777777777777779</v>
          </cell>
          <cell r="N368">
            <v>0.33333333333333331</v>
          </cell>
          <cell r="O368">
            <v>0.3888888888888889</v>
          </cell>
          <cell r="P368">
            <v>55</v>
          </cell>
          <cell r="Q368">
            <v>24.1</v>
          </cell>
          <cell r="R368">
            <v>2.41</v>
          </cell>
          <cell r="S368">
            <v>7.23</v>
          </cell>
          <cell r="T368">
            <v>7.23</v>
          </cell>
          <cell r="U368">
            <v>7.23</v>
          </cell>
          <cell r="V368">
            <v>0.11764705882352941</v>
          </cell>
          <cell r="W368">
            <v>0.17647058823529413</v>
          </cell>
          <cell r="X368">
            <v>0.70588235294117652</v>
          </cell>
          <cell r="Y368">
            <v>34</v>
          </cell>
        </row>
        <row r="369">
          <cell r="A369" t="str">
            <v>2024-León</v>
          </cell>
          <cell r="B369" t="str">
            <v>2024-Puebla</v>
          </cell>
          <cell r="C369">
            <v>2024</v>
          </cell>
          <cell r="D369" t="str">
            <v>León</v>
          </cell>
          <cell r="E369">
            <v>2</v>
          </cell>
          <cell r="F369">
            <v>1</v>
          </cell>
          <cell r="G369" t="str">
            <v>Puebla</v>
          </cell>
          <cell r="H369">
            <v>29.55</v>
          </cell>
          <cell r="I369">
            <v>2.96</v>
          </cell>
          <cell r="J369">
            <v>8.8699999999999992</v>
          </cell>
          <cell r="K369">
            <v>8.8699999999999992</v>
          </cell>
          <cell r="L369">
            <v>8.8699999999999992</v>
          </cell>
          <cell r="M369">
            <v>0.3888888888888889</v>
          </cell>
          <cell r="N369">
            <v>0.3888888888888889</v>
          </cell>
          <cell r="O369">
            <v>0.22222222222222221</v>
          </cell>
          <cell r="P369">
            <v>87</v>
          </cell>
          <cell r="Q369">
            <v>24.1</v>
          </cell>
          <cell r="R369">
            <v>2.41</v>
          </cell>
          <cell r="S369">
            <v>7.23</v>
          </cell>
          <cell r="T369">
            <v>7.23</v>
          </cell>
          <cell r="U369">
            <v>7.23</v>
          </cell>
          <cell r="V369">
            <v>0.11764705882352941</v>
          </cell>
          <cell r="W369">
            <v>0.17647058823529413</v>
          </cell>
          <cell r="X369">
            <v>0.70588235294117652</v>
          </cell>
          <cell r="Y369">
            <v>34</v>
          </cell>
        </row>
        <row r="370">
          <cell r="A370" t="str">
            <v>2024-Puebla</v>
          </cell>
          <cell r="B370" t="str">
            <v>2024-Atlas</v>
          </cell>
          <cell r="C370">
            <v>2024</v>
          </cell>
          <cell r="D370" t="str">
            <v>Puebla</v>
          </cell>
          <cell r="E370">
            <v>2</v>
          </cell>
          <cell r="F370">
            <v>2</v>
          </cell>
          <cell r="G370" t="str">
            <v>Atlas</v>
          </cell>
          <cell r="H370">
            <v>24.1</v>
          </cell>
          <cell r="I370">
            <v>2.41</v>
          </cell>
          <cell r="J370">
            <v>7.23</v>
          </cell>
          <cell r="K370">
            <v>7.23</v>
          </cell>
          <cell r="L370">
            <v>7.23</v>
          </cell>
          <cell r="M370">
            <v>0.23529411764705882</v>
          </cell>
          <cell r="N370">
            <v>0.11764705882352941</v>
          </cell>
          <cell r="O370">
            <v>0.6470588235294118</v>
          </cell>
          <cell r="P370">
            <v>34</v>
          </cell>
          <cell r="Q370">
            <v>28.95</v>
          </cell>
          <cell r="R370">
            <v>2.9</v>
          </cell>
          <cell r="S370">
            <v>8.68</v>
          </cell>
          <cell r="T370">
            <v>8.68</v>
          </cell>
          <cell r="U370">
            <v>8.68</v>
          </cell>
          <cell r="V370">
            <v>0.26315789473684209</v>
          </cell>
          <cell r="W370">
            <v>0.31578947368421051</v>
          </cell>
          <cell r="X370">
            <v>0.42105263157894735</v>
          </cell>
          <cell r="Y370">
            <v>60</v>
          </cell>
        </row>
        <row r="371">
          <cell r="A371" t="str">
            <v>2024-Atlético San Luis</v>
          </cell>
          <cell r="B371" t="str">
            <v>2024-Puebla</v>
          </cell>
          <cell r="C371">
            <v>2024</v>
          </cell>
          <cell r="D371" t="str">
            <v>Atlético San Luis</v>
          </cell>
          <cell r="E371">
            <v>4</v>
          </cell>
          <cell r="F371">
            <v>0</v>
          </cell>
          <cell r="G371" t="str">
            <v>Puebla</v>
          </cell>
          <cell r="H371">
            <v>45.95</v>
          </cell>
          <cell r="I371">
            <v>4.5999999999999996</v>
          </cell>
          <cell r="J371">
            <v>13.84</v>
          </cell>
          <cell r="K371">
            <v>13.84</v>
          </cell>
          <cell r="L371">
            <v>13.84</v>
          </cell>
          <cell r="M371">
            <v>0.68421052631578949</v>
          </cell>
          <cell r="N371">
            <v>5.2631578947368418E-2</v>
          </cell>
          <cell r="O371">
            <v>0.26315789473684209</v>
          </cell>
          <cell r="P371">
            <v>59</v>
          </cell>
          <cell r="Q371">
            <v>24.1</v>
          </cell>
          <cell r="R371">
            <v>2.41</v>
          </cell>
          <cell r="S371">
            <v>7.23</v>
          </cell>
          <cell r="T371">
            <v>7.23</v>
          </cell>
          <cell r="U371">
            <v>7.23</v>
          </cell>
          <cell r="V371">
            <v>0.11764705882352941</v>
          </cell>
          <cell r="W371">
            <v>0.17647058823529413</v>
          </cell>
          <cell r="X371">
            <v>0.70588235294117652</v>
          </cell>
          <cell r="Y371">
            <v>34</v>
          </cell>
        </row>
        <row r="372">
          <cell r="A372" t="str">
            <v>2024-Puebla</v>
          </cell>
          <cell r="B372" t="str">
            <v>2024-Querétaro</v>
          </cell>
          <cell r="C372">
            <v>2024</v>
          </cell>
          <cell r="D372" t="str">
            <v>Puebla</v>
          </cell>
          <cell r="E372">
            <v>0</v>
          </cell>
          <cell r="F372">
            <v>2</v>
          </cell>
          <cell r="G372" t="str">
            <v>Querétaro</v>
          </cell>
          <cell r="H372">
            <v>24.1</v>
          </cell>
          <cell r="I372">
            <v>2.41</v>
          </cell>
          <cell r="J372">
            <v>7.23</v>
          </cell>
          <cell r="K372">
            <v>7.23</v>
          </cell>
          <cell r="L372">
            <v>7.23</v>
          </cell>
          <cell r="M372">
            <v>0.23529411764705882</v>
          </cell>
          <cell r="N372">
            <v>0.11764705882352941</v>
          </cell>
          <cell r="O372">
            <v>0.6470588235294118</v>
          </cell>
          <cell r="P372">
            <v>34</v>
          </cell>
          <cell r="Q372" t="str">
            <v>NULL</v>
          </cell>
          <cell r="R372" t="str">
            <v>NULL</v>
          </cell>
          <cell r="S372" t="str">
            <v>NULL</v>
          </cell>
          <cell r="T372" t="str">
            <v>NULL</v>
          </cell>
          <cell r="U372" t="str">
            <v>NULL</v>
          </cell>
          <cell r="V372">
            <v>0.17647058823529413</v>
          </cell>
          <cell r="W372">
            <v>0.17647058823529413</v>
          </cell>
          <cell r="X372">
            <v>0.6470588235294118</v>
          </cell>
          <cell r="Y372">
            <v>64</v>
          </cell>
        </row>
        <row r="373">
          <cell r="A373" t="str">
            <v>2024-Puebla</v>
          </cell>
          <cell r="B373" t="str">
            <v>2024-Pachuca</v>
          </cell>
          <cell r="C373">
            <v>2024</v>
          </cell>
          <cell r="D373" t="str">
            <v>Puebla</v>
          </cell>
          <cell r="E373">
            <v>1</v>
          </cell>
          <cell r="F373">
            <v>4</v>
          </cell>
          <cell r="G373" t="str">
            <v>Pachuca</v>
          </cell>
          <cell r="H373">
            <v>24.1</v>
          </cell>
          <cell r="I373">
            <v>2.41</v>
          </cell>
          <cell r="J373">
            <v>7.23</v>
          </cell>
          <cell r="K373">
            <v>7.23</v>
          </cell>
          <cell r="L373">
            <v>7.23</v>
          </cell>
          <cell r="M373">
            <v>0.23529411764705882</v>
          </cell>
          <cell r="N373">
            <v>0.11764705882352941</v>
          </cell>
          <cell r="O373">
            <v>0.6470588235294118</v>
          </cell>
          <cell r="P373">
            <v>34</v>
          </cell>
          <cell r="Q373">
            <v>56.6</v>
          </cell>
          <cell r="R373">
            <v>5.66</v>
          </cell>
          <cell r="S373">
            <v>16.98</v>
          </cell>
          <cell r="T373">
            <v>16.98</v>
          </cell>
          <cell r="U373">
            <v>16.98</v>
          </cell>
          <cell r="V373">
            <v>0.26315789473684209</v>
          </cell>
          <cell r="W373">
            <v>0.15789473684210525</v>
          </cell>
          <cell r="X373">
            <v>0.57894736842105265</v>
          </cell>
          <cell r="Y373">
            <v>98</v>
          </cell>
        </row>
        <row r="374">
          <cell r="A374" t="str">
            <v>2024-Pumas</v>
          </cell>
          <cell r="B374" t="str">
            <v>2024-Puebla</v>
          </cell>
          <cell r="C374">
            <v>2024</v>
          </cell>
          <cell r="D374" t="str">
            <v>Pumas</v>
          </cell>
          <cell r="E374">
            <v>3</v>
          </cell>
          <cell r="F374">
            <v>0</v>
          </cell>
          <cell r="G374" t="str">
            <v>Puebla</v>
          </cell>
          <cell r="H374">
            <v>47.6</v>
          </cell>
          <cell r="I374">
            <v>4.76</v>
          </cell>
          <cell r="J374">
            <v>14.28</v>
          </cell>
          <cell r="K374">
            <v>14.28</v>
          </cell>
          <cell r="L374">
            <v>14.28</v>
          </cell>
          <cell r="M374">
            <v>0.5</v>
          </cell>
          <cell r="N374">
            <v>0.16666666666666666</v>
          </cell>
          <cell r="O374">
            <v>0.33333333333333331</v>
          </cell>
          <cell r="P374">
            <v>75</v>
          </cell>
          <cell r="Q374">
            <v>24.1</v>
          </cell>
          <cell r="R374">
            <v>2.41</v>
          </cell>
          <cell r="S374">
            <v>7.23</v>
          </cell>
          <cell r="T374">
            <v>7.23</v>
          </cell>
          <cell r="U374">
            <v>7.23</v>
          </cell>
          <cell r="V374">
            <v>0.11764705882352941</v>
          </cell>
          <cell r="W374">
            <v>0.17647058823529413</v>
          </cell>
          <cell r="X374">
            <v>0.70588235294117652</v>
          </cell>
          <cell r="Y374">
            <v>34</v>
          </cell>
        </row>
        <row r="375">
          <cell r="A375" t="str">
            <v>2024-Santos Laguna</v>
          </cell>
          <cell r="B375" t="str">
            <v>2024-Puebla</v>
          </cell>
          <cell r="C375">
            <v>2024</v>
          </cell>
          <cell r="D375" t="str">
            <v>Santos Laguna</v>
          </cell>
          <cell r="E375">
            <v>3</v>
          </cell>
          <cell r="F375">
            <v>0</v>
          </cell>
          <cell r="G375" t="str">
            <v>Puebla</v>
          </cell>
          <cell r="H375">
            <v>35.9</v>
          </cell>
          <cell r="I375">
            <v>3.59</v>
          </cell>
          <cell r="J375">
            <v>10.77</v>
          </cell>
          <cell r="K375">
            <v>10.77</v>
          </cell>
          <cell r="L375">
            <v>10.77</v>
          </cell>
          <cell r="M375">
            <v>0.23529411764705882</v>
          </cell>
          <cell r="N375">
            <v>0.17647058823529413</v>
          </cell>
          <cell r="O375">
            <v>0.58823529411764708</v>
          </cell>
          <cell r="P375">
            <v>46</v>
          </cell>
          <cell r="Q375">
            <v>24.1</v>
          </cell>
          <cell r="R375">
            <v>2.41</v>
          </cell>
          <cell r="S375">
            <v>7.23</v>
          </cell>
          <cell r="T375">
            <v>7.23</v>
          </cell>
          <cell r="U375">
            <v>7.23</v>
          </cell>
          <cell r="V375">
            <v>0.11764705882352941</v>
          </cell>
          <cell r="W375">
            <v>0.17647058823529413</v>
          </cell>
          <cell r="X375">
            <v>0.70588235294117652</v>
          </cell>
          <cell r="Y375">
            <v>34</v>
          </cell>
        </row>
        <row r="376">
          <cell r="A376" t="str">
            <v>2024-Puebla</v>
          </cell>
          <cell r="B376" t="str">
            <v>2024-Toluca</v>
          </cell>
          <cell r="C376">
            <v>2024</v>
          </cell>
          <cell r="D376" t="str">
            <v>Puebla</v>
          </cell>
          <cell r="E376">
            <v>1</v>
          </cell>
          <cell r="F376">
            <v>1</v>
          </cell>
          <cell r="G376" t="str">
            <v>Toluca</v>
          </cell>
          <cell r="H376">
            <v>24.1</v>
          </cell>
          <cell r="I376">
            <v>2.41</v>
          </cell>
          <cell r="J376">
            <v>7.23</v>
          </cell>
          <cell r="K376">
            <v>7.23</v>
          </cell>
          <cell r="L376">
            <v>7.23</v>
          </cell>
          <cell r="M376">
            <v>0.23529411764705882</v>
          </cell>
          <cell r="N376">
            <v>0.11764705882352941</v>
          </cell>
          <cell r="O376">
            <v>0.6470588235294118</v>
          </cell>
          <cell r="P376">
            <v>34</v>
          </cell>
          <cell r="Q376">
            <v>77.45</v>
          </cell>
          <cell r="R376">
            <v>7.75</v>
          </cell>
          <cell r="S376">
            <v>23.24</v>
          </cell>
          <cell r="T376">
            <v>23.24</v>
          </cell>
          <cell r="U376">
            <v>23.24</v>
          </cell>
          <cell r="V376">
            <v>0.38095238095238093</v>
          </cell>
          <cell r="W376">
            <v>0.33333333333333331</v>
          </cell>
          <cell r="X376">
            <v>0.2857142857142857</v>
          </cell>
          <cell r="Y376">
            <v>118</v>
          </cell>
        </row>
        <row r="377">
          <cell r="A377" t="str">
            <v>2024-Puebla</v>
          </cell>
          <cell r="B377" t="str">
            <v>2024-Necaxa</v>
          </cell>
          <cell r="C377">
            <v>2024</v>
          </cell>
          <cell r="D377" t="str">
            <v>Puebla</v>
          </cell>
          <cell r="E377">
            <v>1</v>
          </cell>
          <cell r="F377">
            <v>2</v>
          </cell>
          <cell r="G377" t="str">
            <v>Necaxa</v>
          </cell>
          <cell r="H377">
            <v>24.1</v>
          </cell>
          <cell r="I377">
            <v>2.41</v>
          </cell>
          <cell r="J377">
            <v>7.23</v>
          </cell>
          <cell r="K377">
            <v>7.23</v>
          </cell>
          <cell r="L377">
            <v>7.23</v>
          </cell>
          <cell r="M377">
            <v>0.23529411764705882</v>
          </cell>
          <cell r="N377">
            <v>0.11764705882352941</v>
          </cell>
          <cell r="O377">
            <v>0.6470588235294118</v>
          </cell>
          <cell r="P377">
            <v>34</v>
          </cell>
          <cell r="Q377">
            <v>38.5</v>
          </cell>
          <cell r="R377">
            <v>3.85</v>
          </cell>
          <cell r="S377">
            <v>11.55</v>
          </cell>
          <cell r="T377">
            <v>11.55</v>
          </cell>
          <cell r="U377">
            <v>11.55</v>
          </cell>
          <cell r="V377">
            <v>0.27777777777777779</v>
          </cell>
          <cell r="W377">
            <v>0.27777777777777779</v>
          </cell>
          <cell r="X377">
            <v>0.44444444444444442</v>
          </cell>
          <cell r="Y377">
            <v>77</v>
          </cell>
        </row>
        <row r="378">
          <cell r="A378" t="str">
            <v>2024-Monterrey</v>
          </cell>
          <cell r="B378" t="str">
            <v>2024-Puebla</v>
          </cell>
          <cell r="C378">
            <v>2024</v>
          </cell>
          <cell r="D378" t="str">
            <v>Monterrey</v>
          </cell>
          <cell r="E378">
            <v>2</v>
          </cell>
          <cell r="F378">
            <v>0</v>
          </cell>
          <cell r="G378" t="str">
            <v>Puebla</v>
          </cell>
          <cell r="H378">
            <v>88.6</v>
          </cell>
          <cell r="I378">
            <v>8.86</v>
          </cell>
          <cell r="J378">
            <v>26.58</v>
          </cell>
          <cell r="K378">
            <v>26.58</v>
          </cell>
          <cell r="L378">
            <v>26.58</v>
          </cell>
          <cell r="M378">
            <v>0.60869565217391308</v>
          </cell>
          <cell r="N378">
            <v>0.17391304347826086</v>
          </cell>
          <cell r="O378">
            <v>0.21739130434782608</v>
          </cell>
          <cell r="P378">
            <v>118</v>
          </cell>
          <cell r="Q378">
            <v>24.1</v>
          </cell>
          <cell r="R378">
            <v>2.41</v>
          </cell>
          <cell r="S378">
            <v>7.23</v>
          </cell>
          <cell r="T378">
            <v>7.23</v>
          </cell>
          <cell r="U378">
            <v>7.23</v>
          </cell>
          <cell r="V378">
            <v>0.11764705882352941</v>
          </cell>
          <cell r="W378">
            <v>0.17647058823529413</v>
          </cell>
          <cell r="X378">
            <v>0.70588235294117652</v>
          </cell>
          <cell r="Y378">
            <v>34</v>
          </cell>
        </row>
        <row r="379">
          <cell r="A379" t="str">
            <v>2023-Tigres</v>
          </cell>
          <cell r="B379" t="str">
            <v>2023-Puebla</v>
          </cell>
          <cell r="C379">
            <v>2023</v>
          </cell>
          <cell r="D379" t="str">
            <v>Tigres</v>
          </cell>
          <cell r="E379">
            <v>3</v>
          </cell>
          <cell r="F379">
            <v>0</v>
          </cell>
          <cell r="G379" t="str">
            <v>Puebla</v>
          </cell>
          <cell r="H379">
            <v>67.599999999999994</v>
          </cell>
          <cell r="I379">
            <v>6.76</v>
          </cell>
          <cell r="J379">
            <v>20.28</v>
          </cell>
          <cell r="K379">
            <v>20.28</v>
          </cell>
          <cell r="L379">
            <v>20.28</v>
          </cell>
          <cell r="M379">
            <v>0.7</v>
          </cell>
          <cell r="N379">
            <v>0.25</v>
          </cell>
          <cell r="O379">
            <v>0.05</v>
          </cell>
          <cell r="P379">
            <v>107</v>
          </cell>
          <cell r="Q379">
            <v>26.7</v>
          </cell>
          <cell r="R379">
            <v>2.67</v>
          </cell>
          <cell r="S379">
            <v>8.01</v>
          </cell>
          <cell r="T379">
            <v>8.01</v>
          </cell>
          <cell r="U379">
            <v>8.01</v>
          </cell>
          <cell r="V379">
            <v>0.11764705882352941</v>
          </cell>
          <cell r="W379">
            <v>0.17647058823529413</v>
          </cell>
          <cell r="X379">
            <v>0.70588235294117652</v>
          </cell>
          <cell r="Y379">
            <v>34</v>
          </cell>
        </row>
        <row r="380">
          <cell r="A380" t="str">
            <v>2023-Puebla</v>
          </cell>
          <cell r="B380" t="str">
            <v>2023-Tigres</v>
          </cell>
          <cell r="C380">
            <v>2023</v>
          </cell>
          <cell r="D380" t="str">
            <v>Puebla</v>
          </cell>
          <cell r="E380">
            <v>2</v>
          </cell>
          <cell r="F380">
            <v>2</v>
          </cell>
          <cell r="G380" t="str">
            <v>Tigres</v>
          </cell>
          <cell r="H380">
            <v>26.7</v>
          </cell>
          <cell r="I380">
            <v>2.67</v>
          </cell>
          <cell r="J380">
            <v>8.01</v>
          </cell>
          <cell r="K380">
            <v>8.01</v>
          </cell>
          <cell r="L380">
            <v>8.01</v>
          </cell>
          <cell r="M380">
            <v>0.23529411764705882</v>
          </cell>
          <cell r="N380">
            <v>0.11764705882352941</v>
          </cell>
          <cell r="O380">
            <v>0.6470588235294118</v>
          </cell>
          <cell r="P380">
            <v>34</v>
          </cell>
          <cell r="Q380" t="str">
            <v>NULL</v>
          </cell>
          <cell r="R380" t="str">
            <v>NULL</v>
          </cell>
          <cell r="S380" t="str">
            <v>NULL</v>
          </cell>
          <cell r="T380" t="str">
            <v>NULL</v>
          </cell>
          <cell r="U380" t="str">
            <v>NULL</v>
          </cell>
          <cell r="V380">
            <v>0.3</v>
          </cell>
          <cell r="W380">
            <v>0.3</v>
          </cell>
          <cell r="X380">
            <v>0.4</v>
          </cell>
          <cell r="Y380">
            <v>107</v>
          </cell>
        </row>
        <row r="381">
          <cell r="A381" t="str">
            <v>2023-Cruz Azul</v>
          </cell>
          <cell r="B381" t="str">
            <v>2023-Puebla</v>
          </cell>
          <cell r="C381">
            <v>2023</v>
          </cell>
          <cell r="D381" t="str">
            <v>Cruz Azul</v>
          </cell>
          <cell r="E381">
            <v>1</v>
          </cell>
          <cell r="F381">
            <v>2</v>
          </cell>
          <cell r="G381" t="str">
            <v>Puebla</v>
          </cell>
          <cell r="H381">
            <v>72.2</v>
          </cell>
          <cell r="I381">
            <v>7.22</v>
          </cell>
          <cell r="J381">
            <v>21.66</v>
          </cell>
          <cell r="K381">
            <v>21.66</v>
          </cell>
          <cell r="L381">
            <v>21.66</v>
          </cell>
          <cell r="M381">
            <v>0.7142857142857143</v>
          </cell>
          <cell r="N381">
            <v>0.23809523809523808</v>
          </cell>
          <cell r="O381">
            <v>4.7619047619047616E-2</v>
          </cell>
          <cell r="P381">
            <v>107</v>
          </cell>
          <cell r="Q381">
            <v>26.7</v>
          </cell>
          <cell r="R381">
            <v>2.67</v>
          </cell>
          <cell r="S381">
            <v>8.01</v>
          </cell>
          <cell r="T381">
            <v>8.01</v>
          </cell>
          <cell r="U381">
            <v>8.01</v>
          </cell>
          <cell r="V381">
            <v>0.11764705882352941</v>
          </cell>
          <cell r="W381">
            <v>0.17647058823529413</v>
          </cell>
          <cell r="X381">
            <v>0.70588235294117652</v>
          </cell>
          <cell r="Y381">
            <v>34</v>
          </cell>
        </row>
        <row r="382">
          <cell r="A382" t="str">
            <v>2023-Puebla</v>
          </cell>
          <cell r="B382" t="str">
            <v>2023-León</v>
          </cell>
          <cell r="C382">
            <v>2023</v>
          </cell>
          <cell r="D382" t="str">
            <v>Puebla</v>
          </cell>
          <cell r="E382">
            <v>5</v>
          </cell>
          <cell r="F382">
            <v>4</v>
          </cell>
          <cell r="G382" t="str">
            <v>León</v>
          </cell>
          <cell r="H382">
            <v>26.7</v>
          </cell>
          <cell r="I382">
            <v>2.67</v>
          </cell>
          <cell r="J382">
            <v>8.01</v>
          </cell>
          <cell r="K382">
            <v>8.01</v>
          </cell>
          <cell r="L382">
            <v>8.01</v>
          </cell>
          <cell r="M382">
            <v>0.23529411764705882</v>
          </cell>
          <cell r="N382">
            <v>0.11764705882352941</v>
          </cell>
          <cell r="O382">
            <v>0.6470588235294118</v>
          </cell>
          <cell r="P382">
            <v>34</v>
          </cell>
          <cell r="Q382">
            <v>41.5</v>
          </cell>
          <cell r="R382">
            <v>4.1500000000000004</v>
          </cell>
          <cell r="S382">
            <v>12.45</v>
          </cell>
          <cell r="T382">
            <v>12.45</v>
          </cell>
          <cell r="U382">
            <v>12.45</v>
          </cell>
          <cell r="V382">
            <v>0.27777777777777779</v>
          </cell>
          <cell r="W382">
            <v>0.27777777777777779</v>
          </cell>
          <cell r="X382">
            <v>0.44444444444444442</v>
          </cell>
          <cell r="Y382">
            <v>87</v>
          </cell>
        </row>
        <row r="383">
          <cell r="A383" t="str">
            <v>2023-Toluca</v>
          </cell>
          <cell r="B383" t="str">
            <v>2023-Puebla</v>
          </cell>
          <cell r="C383">
            <v>2023</v>
          </cell>
          <cell r="D383" t="str">
            <v>Toluca</v>
          </cell>
          <cell r="E383">
            <v>0</v>
          </cell>
          <cell r="F383">
            <v>1</v>
          </cell>
          <cell r="G383" t="str">
            <v>Puebla</v>
          </cell>
          <cell r="H383">
            <v>66.2</v>
          </cell>
          <cell r="I383">
            <v>6.62</v>
          </cell>
          <cell r="J383">
            <v>19.86</v>
          </cell>
          <cell r="K383">
            <v>19.86</v>
          </cell>
          <cell r="L383">
            <v>19.86</v>
          </cell>
          <cell r="M383">
            <v>0.76190476190476186</v>
          </cell>
          <cell r="N383">
            <v>0.19047619047619047</v>
          </cell>
          <cell r="O383">
            <v>4.7619047619047616E-2</v>
          </cell>
          <cell r="P383">
            <v>118</v>
          </cell>
          <cell r="Q383">
            <v>26.7</v>
          </cell>
          <cell r="R383">
            <v>2.67</v>
          </cell>
          <cell r="S383">
            <v>8.01</v>
          </cell>
          <cell r="T383">
            <v>8.01</v>
          </cell>
          <cell r="U383">
            <v>8.01</v>
          </cell>
          <cell r="V383">
            <v>0.11764705882352941</v>
          </cell>
          <cell r="W383">
            <v>0.17647058823529413</v>
          </cell>
          <cell r="X383">
            <v>0.70588235294117652</v>
          </cell>
          <cell r="Y383">
            <v>34</v>
          </cell>
        </row>
        <row r="384">
          <cell r="A384" t="str">
            <v>2023-Pachuca</v>
          </cell>
          <cell r="B384" t="str">
            <v>2023-Puebla</v>
          </cell>
          <cell r="C384">
            <v>2023</v>
          </cell>
          <cell r="D384" t="str">
            <v>Pachuca</v>
          </cell>
          <cell r="E384">
            <v>1</v>
          </cell>
          <cell r="F384">
            <v>1</v>
          </cell>
          <cell r="G384" t="str">
            <v>Puebla</v>
          </cell>
          <cell r="H384">
            <v>51.25</v>
          </cell>
          <cell r="I384">
            <v>5.13</v>
          </cell>
          <cell r="J384">
            <v>15.38</v>
          </cell>
          <cell r="K384">
            <v>15.38</v>
          </cell>
          <cell r="L384">
            <v>15.38</v>
          </cell>
          <cell r="M384">
            <v>0.3888888888888889</v>
          </cell>
          <cell r="N384">
            <v>0.33333333333333331</v>
          </cell>
          <cell r="O384">
            <v>0.27777777777777779</v>
          </cell>
          <cell r="P384">
            <v>98</v>
          </cell>
          <cell r="Q384">
            <v>26.7</v>
          </cell>
          <cell r="R384">
            <v>2.67</v>
          </cell>
          <cell r="S384">
            <v>8.01</v>
          </cell>
          <cell r="T384">
            <v>8.01</v>
          </cell>
          <cell r="U384">
            <v>8.01</v>
          </cell>
          <cell r="V384">
            <v>0.11764705882352941</v>
          </cell>
          <cell r="W384">
            <v>0.17647058823529413</v>
          </cell>
          <cell r="X384">
            <v>0.70588235294117652</v>
          </cell>
          <cell r="Y384">
            <v>34</v>
          </cell>
        </row>
        <row r="385">
          <cell r="A385" t="str">
            <v>2023-Puebla</v>
          </cell>
          <cell r="B385" t="str">
            <v>2023-Chivas</v>
          </cell>
          <cell r="C385">
            <v>2023</v>
          </cell>
          <cell r="D385" t="str">
            <v>Puebla</v>
          </cell>
          <cell r="E385">
            <v>0</v>
          </cell>
          <cell r="F385">
            <v>2</v>
          </cell>
          <cell r="G385" t="str">
            <v>Chivas</v>
          </cell>
          <cell r="H385">
            <v>26.7</v>
          </cell>
          <cell r="I385">
            <v>2.67</v>
          </cell>
          <cell r="J385">
            <v>8.01</v>
          </cell>
          <cell r="K385">
            <v>8.01</v>
          </cell>
          <cell r="L385">
            <v>8.01</v>
          </cell>
          <cell r="M385">
            <v>0.23529411764705882</v>
          </cell>
          <cell r="N385">
            <v>0.11764705882352941</v>
          </cell>
          <cell r="O385">
            <v>0.6470588235294118</v>
          </cell>
          <cell r="P385">
            <v>34</v>
          </cell>
          <cell r="Q385" t="str">
            <v>NULL</v>
          </cell>
          <cell r="R385" t="str">
            <v>NULL</v>
          </cell>
          <cell r="S385" t="str">
            <v>NULL</v>
          </cell>
          <cell r="T385" t="str">
            <v>NULL</v>
          </cell>
          <cell r="U385" t="str">
            <v>NULL</v>
          </cell>
          <cell r="V385">
            <v>0.23529411764705882</v>
          </cell>
          <cell r="W385">
            <v>0.23529411764705882</v>
          </cell>
          <cell r="X385">
            <v>0.52941176470588236</v>
          </cell>
          <cell r="Y385">
            <v>99</v>
          </cell>
        </row>
        <row r="386">
          <cell r="A386" t="str">
            <v>2023-Puebla</v>
          </cell>
          <cell r="B386" t="str">
            <v>2023-Monterrey</v>
          </cell>
          <cell r="C386">
            <v>2023</v>
          </cell>
          <cell r="D386" t="str">
            <v>Puebla</v>
          </cell>
          <cell r="E386">
            <v>1</v>
          </cell>
          <cell r="F386">
            <v>1</v>
          </cell>
          <cell r="G386" t="str">
            <v>Monterrey</v>
          </cell>
          <cell r="H386">
            <v>26.7</v>
          </cell>
          <cell r="I386">
            <v>2.67</v>
          </cell>
          <cell r="J386">
            <v>8.01</v>
          </cell>
          <cell r="K386">
            <v>8.01</v>
          </cell>
          <cell r="L386">
            <v>8.01</v>
          </cell>
          <cell r="M386">
            <v>0.23529411764705882</v>
          </cell>
          <cell r="N386">
            <v>0.11764705882352941</v>
          </cell>
          <cell r="O386">
            <v>0.6470588235294118</v>
          </cell>
          <cell r="P386">
            <v>34</v>
          </cell>
          <cell r="Q386">
            <v>88.1</v>
          </cell>
          <cell r="R386">
            <v>8.81</v>
          </cell>
          <cell r="S386">
            <v>26.43</v>
          </cell>
          <cell r="T386">
            <v>26.43</v>
          </cell>
          <cell r="U386">
            <v>26.43</v>
          </cell>
          <cell r="V386">
            <v>0.38095238095238093</v>
          </cell>
          <cell r="W386">
            <v>0.23809523809523808</v>
          </cell>
          <cell r="X386">
            <v>0.38095238095238093</v>
          </cell>
          <cell r="Y386">
            <v>118</v>
          </cell>
        </row>
        <row r="387">
          <cell r="A387" t="str">
            <v>2023-Atlas</v>
          </cell>
          <cell r="B387" t="str">
            <v>2023-Puebla</v>
          </cell>
          <cell r="C387">
            <v>2023</v>
          </cell>
          <cell r="D387" t="str">
            <v>Atlas</v>
          </cell>
          <cell r="E387">
            <v>2</v>
          </cell>
          <cell r="F387">
            <v>3</v>
          </cell>
          <cell r="G387" t="str">
            <v>Puebla</v>
          </cell>
          <cell r="H387">
            <v>30.7</v>
          </cell>
          <cell r="I387">
            <v>3.07</v>
          </cell>
          <cell r="J387">
            <v>9.2100000000000009</v>
          </cell>
          <cell r="K387">
            <v>9.2100000000000009</v>
          </cell>
          <cell r="L387">
            <v>9.2100000000000009</v>
          </cell>
          <cell r="M387" t="str">
            <v>NULL</v>
          </cell>
          <cell r="N387" t="str">
            <v>NULL</v>
          </cell>
          <cell r="O387" t="str">
            <v>NULL</v>
          </cell>
          <cell r="P387">
            <v>60</v>
          </cell>
          <cell r="Q387">
            <v>26.7</v>
          </cell>
          <cell r="R387">
            <v>2.67</v>
          </cell>
          <cell r="S387">
            <v>8.01</v>
          </cell>
          <cell r="T387">
            <v>8.01</v>
          </cell>
          <cell r="U387">
            <v>8.01</v>
          </cell>
          <cell r="V387">
            <v>0.11764705882352941</v>
          </cell>
          <cell r="W387">
            <v>0.17647058823529413</v>
          </cell>
          <cell r="X387">
            <v>0.70588235294117652</v>
          </cell>
          <cell r="Y387">
            <v>34</v>
          </cell>
        </row>
        <row r="388">
          <cell r="A388" t="str">
            <v>2023-Puebla</v>
          </cell>
          <cell r="B388" t="str">
            <v>2023-Pumas</v>
          </cell>
          <cell r="C388">
            <v>2023</v>
          </cell>
          <cell r="D388" t="str">
            <v>Puebla</v>
          </cell>
          <cell r="E388">
            <v>0</v>
          </cell>
          <cell r="F388">
            <v>2</v>
          </cell>
          <cell r="G388" t="str">
            <v>Pumas</v>
          </cell>
          <cell r="H388">
            <v>26.7</v>
          </cell>
          <cell r="I388">
            <v>2.67</v>
          </cell>
          <cell r="J388">
            <v>8.01</v>
          </cell>
          <cell r="K388">
            <v>8.01</v>
          </cell>
          <cell r="L388">
            <v>8.01</v>
          </cell>
          <cell r="M388">
            <v>0.23529411764705882</v>
          </cell>
          <cell r="N388">
            <v>0.11764705882352941</v>
          </cell>
          <cell r="O388">
            <v>0.6470588235294118</v>
          </cell>
          <cell r="P388">
            <v>34</v>
          </cell>
          <cell r="Q388" t="str">
            <v>NULL</v>
          </cell>
          <cell r="R388" t="str">
            <v>NULL</v>
          </cell>
          <cell r="S388" t="str">
            <v>NULL</v>
          </cell>
          <cell r="T388" t="str">
            <v>NULL</v>
          </cell>
          <cell r="U388" t="str">
            <v>NULL</v>
          </cell>
          <cell r="V388">
            <v>0.3</v>
          </cell>
          <cell r="W388">
            <v>0.25</v>
          </cell>
          <cell r="X388">
            <v>0.45</v>
          </cell>
          <cell r="Y388">
            <v>75</v>
          </cell>
        </row>
        <row r="389">
          <cell r="A389" t="str">
            <v>2023-Puebla</v>
          </cell>
          <cell r="B389" t="str">
            <v>2023-Juarez</v>
          </cell>
          <cell r="C389">
            <v>2023</v>
          </cell>
          <cell r="D389" t="str">
            <v>Puebla</v>
          </cell>
          <cell r="E389">
            <v>1</v>
          </cell>
          <cell r="F389">
            <v>0</v>
          </cell>
          <cell r="G389" t="str">
            <v>Juarez</v>
          </cell>
          <cell r="H389">
            <v>26.7</v>
          </cell>
          <cell r="I389">
            <v>2.67</v>
          </cell>
          <cell r="J389">
            <v>8.01</v>
          </cell>
          <cell r="K389">
            <v>8.01</v>
          </cell>
          <cell r="L389">
            <v>8.01</v>
          </cell>
          <cell r="M389">
            <v>0.23529411764705882</v>
          </cell>
          <cell r="N389">
            <v>0.11764705882352941</v>
          </cell>
          <cell r="O389">
            <v>0.6470588235294118</v>
          </cell>
          <cell r="P389">
            <v>34</v>
          </cell>
          <cell r="Q389" t="str">
            <v>NULL</v>
          </cell>
          <cell r="R389" t="str">
            <v>NULL</v>
          </cell>
          <cell r="S389" t="str">
            <v>NULL</v>
          </cell>
          <cell r="T389" t="str">
            <v>NULL</v>
          </cell>
          <cell r="U389" t="str">
            <v>NULL</v>
          </cell>
          <cell r="V389">
            <v>0.35294117647058826</v>
          </cell>
          <cell r="W389">
            <v>0.17647058823529413</v>
          </cell>
          <cell r="X389">
            <v>0.47058823529411764</v>
          </cell>
          <cell r="Y389">
            <v>55</v>
          </cell>
        </row>
        <row r="390">
          <cell r="A390" t="str">
            <v>2023-Puebla</v>
          </cell>
          <cell r="B390" t="str">
            <v>2023-Atlético San Luis</v>
          </cell>
          <cell r="C390">
            <v>2023</v>
          </cell>
          <cell r="D390" t="str">
            <v>Puebla</v>
          </cell>
          <cell r="E390">
            <v>1</v>
          </cell>
          <cell r="F390">
            <v>2</v>
          </cell>
          <cell r="G390" t="str">
            <v>Atlético San Luis</v>
          </cell>
          <cell r="H390">
            <v>26.7</v>
          </cell>
          <cell r="I390">
            <v>2.67</v>
          </cell>
          <cell r="J390">
            <v>8.01</v>
          </cell>
          <cell r="K390">
            <v>8.01</v>
          </cell>
          <cell r="L390">
            <v>8.01</v>
          </cell>
          <cell r="M390">
            <v>0.23529411764705882</v>
          </cell>
          <cell r="N390">
            <v>0.11764705882352941</v>
          </cell>
          <cell r="O390">
            <v>0.6470588235294118</v>
          </cell>
          <cell r="P390">
            <v>34</v>
          </cell>
          <cell r="Q390">
            <v>35.85</v>
          </cell>
          <cell r="R390">
            <v>3.59</v>
          </cell>
          <cell r="S390">
            <v>10.77</v>
          </cell>
          <cell r="T390">
            <v>10.77</v>
          </cell>
          <cell r="U390">
            <v>10.77</v>
          </cell>
          <cell r="V390">
            <v>0.21052631578947367</v>
          </cell>
          <cell r="W390">
            <v>0.15789473684210525</v>
          </cell>
          <cell r="X390">
            <v>0.63157894736842102</v>
          </cell>
          <cell r="Y390">
            <v>59</v>
          </cell>
        </row>
        <row r="391">
          <cell r="A391" t="str">
            <v>2023-América</v>
          </cell>
          <cell r="B391" t="str">
            <v>2023-Puebla</v>
          </cell>
          <cell r="C391">
            <v>2023</v>
          </cell>
          <cell r="D391" t="str">
            <v>América</v>
          </cell>
          <cell r="E391">
            <v>3</v>
          </cell>
          <cell r="F391">
            <v>0</v>
          </cell>
          <cell r="G391" t="str">
            <v>Puebla</v>
          </cell>
          <cell r="H391">
            <v>84.2</v>
          </cell>
          <cell r="I391">
            <v>8.42</v>
          </cell>
          <cell r="J391">
            <v>25.26</v>
          </cell>
          <cell r="K391">
            <v>25.26</v>
          </cell>
          <cell r="L391">
            <v>25.26</v>
          </cell>
          <cell r="M391">
            <v>0.65217391304347827</v>
          </cell>
          <cell r="N391">
            <v>0.21739130434782608</v>
          </cell>
          <cell r="O391">
            <v>0.13043478260869565</v>
          </cell>
          <cell r="P391">
            <v>133</v>
          </cell>
          <cell r="Q391">
            <v>26.7</v>
          </cell>
          <cell r="R391">
            <v>2.67</v>
          </cell>
          <cell r="S391">
            <v>8.01</v>
          </cell>
          <cell r="T391">
            <v>8.01</v>
          </cell>
          <cell r="U391">
            <v>8.01</v>
          </cell>
          <cell r="V391">
            <v>0.11764705882352941</v>
          </cell>
          <cell r="W391">
            <v>0.17647058823529413</v>
          </cell>
          <cell r="X391">
            <v>0.70588235294117652</v>
          </cell>
          <cell r="Y391">
            <v>34</v>
          </cell>
        </row>
        <row r="392">
          <cell r="A392" t="str">
            <v>2023-Puebla</v>
          </cell>
          <cell r="B392" t="str">
            <v>2023-Santos Laguna</v>
          </cell>
          <cell r="C392">
            <v>2023</v>
          </cell>
          <cell r="D392" t="str">
            <v>Puebla</v>
          </cell>
          <cell r="E392">
            <v>2</v>
          </cell>
          <cell r="F392">
            <v>3</v>
          </cell>
          <cell r="G392" t="str">
            <v>Santos Laguna</v>
          </cell>
          <cell r="H392">
            <v>26.7</v>
          </cell>
          <cell r="I392">
            <v>2.67</v>
          </cell>
          <cell r="J392">
            <v>8.01</v>
          </cell>
          <cell r="K392">
            <v>8.01</v>
          </cell>
          <cell r="L392">
            <v>8.01</v>
          </cell>
          <cell r="M392">
            <v>0.23529411764705882</v>
          </cell>
          <cell r="N392">
            <v>0.11764705882352941</v>
          </cell>
          <cell r="O392">
            <v>0.6470588235294118</v>
          </cell>
          <cell r="P392">
            <v>34</v>
          </cell>
          <cell r="Q392" t="str">
            <v>NULL</v>
          </cell>
          <cell r="R392" t="str">
            <v>NULL</v>
          </cell>
          <cell r="S392" t="str">
            <v>NULL</v>
          </cell>
          <cell r="T392" t="str">
            <v>NULL</v>
          </cell>
          <cell r="U392" t="str">
            <v>NULL</v>
          </cell>
          <cell r="V392">
            <v>0</v>
          </cell>
          <cell r="W392">
            <v>0.11764705882352941</v>
          </cell>
          <cell r="X392">
            <v>0.88235294117647056</v>
          </cell>
          <cell r="Y392">
            <v>46</v>
          </cell>
        </row>
        <row r="393">
          <cell r="A393" t="str">
            <v>2023-Tigres</v>
          </cell>
          <cell r="B393" t="str">
            <v>2023-Puebla</v>
          </cell>
          <cell r="C393">
            <v>2023</v>
          </cell>
          <cell r="D393" t="str">
            <v>Tigres</v>
          </cell>
          <cell r="E393">
            <v>1</v>
          </cell>
          <cell r="F393">
            <v>1</v>
          </cell>
          <cell r="G393" t="str">
            <v>Puebla</v>
          </cell>
          <cell r="H393">
            <v>67.599999999999994</v>
          </cell>
          <cell r="I393">
            <v>6.76</v>
          </cell>
          <cell r="J393">
            <v>20.28</v>
          </cell>
          <cell r="K393">
            <v>20.28</v>
          </cell>
          <cell r="L393">
            <v>20.28</v>
          </cell>
          <cell r="M393">
            <v>0.7</v>
          </cell>
          <cell r="N393">
            <v>0.25</v>
          </cell>
          <cell r="O393">
            <v>0.05</v>
          </cell>
          <cell r="P393">
            <v>107</v>
          </cell>
          <cell r="Q393">
            <v>26.7</v>
          </cell>
          <cell r="R393">
            <v>2.67</v>
          </cell>
          <cell r="S393">
            <v>8.01</v>
          </cell>
          <cell r="T393">
            <v>8.01</v>
          </cell>
          <cell r="U393">
            <v>8.01</v>
          </cell>
          <cell r="V393">
            <v>0.11764705882352941</v>
          </cell>
          <cell r="W393">
            <v>0.17647058823529413</v>
          </cell>
          <cell r="X393">
            <v>0.70588235294117652</v>
          </cell>
          <cell r="Y393">
            <v>34</v>
          </cell>
        </row>
        <row r="394">
          <cell r="A394" t="str">
            <v>2024-Cruz Azul</v>
          </cell>
          <cell r="B394" t="str">
            <v>2024-Pumas</v>
          </cell>
          <cell r="C394">
            <v>2024</v>
          </cell>
          <cell r="D394" t="str">
            <v>Cruz Azul</v>
          </cell>
          <cell r="E394">
            <v>2</v>
          </cell>
          <cell r="F394">
            <v>2</v>
          </cell>
          <cell r="G394" t="str">
            <v>Pumas</v>
          </cell>
          <cell r="H394">
            <v>78.849999999999994</v>
          </cell>
          <cell r="I394">
            <v>7.89</v>
          </cell>
          <cell r="J394">
            <v>23.66</v>
          </cell>
          <cell r="K394">
            <v>23.66</v>
          </cell>
          <cell r="L394">
            <v>23.66</v>
          </cell>
          <cell r="M394">
            <v>0.7142857142857143</v>
          </cell>
          <cell r="N394">
            <v>0.23809523809523808</v>
          </cell>
          <cell r="O394">
            <v>4.7619047619047616E-2</v>
          </cell>
          <cell r="P394">
            <v>107</v>
          </cell>
          <cell r="Q394">
            <v>47.6</v>
          </cell>
          <cell r="R394">
            <v>4.76</v>
          </cell>
          <cell r="S394">
            <v>14.28</v>
          </cell>
          <cell r="T394">
            <v>14.28</v>
          </cell>
          <cell r="U394">
            <v>14.28</v>
          </cell>
          <cell r="V394">
            <v>0.3</v>
          </cell>
          <cell r="W394">
            <v>0.25</v>
          </cell>
          <cell r="X394">
            <v>0.45</v>
          </cell>
          <cell r="Y394">
            <v>75</v>
          </cell>
        </row>
        <row r="395">
          <cell r="A395" t="str">
            <v>2024-Pumas</v>
          </cell>
          <cell r="B395" t="str">
            <v>2024-Cruz Azul</v>
          </cell>
          <cell r="C395">
            <v>2024</v>
          </cell>
          <cell r="D395" t="str">
            <v>Pumas</v>
          </cell>
          <cell r="E395">
            <v>0</v>
          </cell>
          <cell r="F395">
            <v>2</v>
          </cell>
          <cell r="G395" t="str">
            <v>Cruz Azul</v>
          </cell>
          <cell r="H395">
            <v>47.6</v>
          </cell>
          <cell r="I395">
            <v>4.76</v>
          </cell>
          <cell r="J395">
            <v>14.28</v>
          </cell>
          <cell r="K395">
            <v>14.28</v>
          </cell>
          <cell r="L395">
            <v>14.28</v>
          </cell>
          <cell r="M395">
            <v>0.5</v>
          </cell>
          <cell r="N395">
            <v>0.16666666666666666</v>
          </cell>
          <cell r="O395">
            <v>0.33333333333333331</v>
          </cell>
          <cell r="P395">
            <v>75</v>
          </cell>
          <cell r="Q395">
            <v>78.849999999999994</v>
          </cell>
          <cell r="R395">
            <v>7.89</v>
          </cell>
          <cell r="S395">
            <v>23.66</v>
          </cell>
          <cell r="T395">
            <v>23.66</v>
          </cell>
          <cell r="U395">
            <v>23.66</v>
          </cell>
          <cell r="V395">
            <v>0.52380952380952384</v>
          </cell>
          <cell r="W395">
            <v>0.23809523809523808</v>
          </cell>
          <cell r="X395">
            <v>0.23809523809523808</v>
          </cell>
          <cell r="Y395">
            <v>107</v>
          </cell>
        </row>
        <row r="396">
          <cell r="A396" t="str">
            <v>2024-Pachuca</v>
          </cell>
          <cell r="B396" t="str">
            <v>2024-Pumas</v>
          </cell>
          <cell r="C396">
            <v>2024</v>
          </cell>
          <cell r="D396" t="str">
            <v>Pachuca</v>
          </cell>
          <cell r="E396">
            <v>0</v>
          </cell>
          <cell r="F396">
            <v>0</v>
          </cell>
          <cell r="G396" t="str">
            <v>Pumas</v>
          </cell>
          <cell r="H396">
            <v>56.6</v>
          </cell>
          <cell r="I396">
            <v>5.66</v>
          </cell>
          <cell r="J396">
            <v>16.98</v>
          </cell>
          <cell r="K396">
            <v>16.98</v>
          </cell>
          <cell r="L396">
            <v>16.98</v>
          </cell>
          <cell r="M396">
            <v>0.3888888888888889</v>
          </cell>
          <cell r="N396">
            <v>0.33333333333333331</v>
          </cell>
          <cell r="O396">
            <v>0.27777777777777779</v>
          </cell>
          <cell r="P396">
            <v>98</v>
          </cell>
          <cell r="Q396">
            <v>47.6</v>
          </cell>
          <cell r="R396">
            <v>4.76</v>
          </cell>
          <cell r="S396">
            <v>14.28</v>
          </cell>
          <cell r="T396">
            <v>14.28</v>
          </cell>
          <cell r="U396">
            <v>14.28</v>
          </cell>
          <cell r="V396">
            <v>0.3</v>
          </cell>
          <cell r="W396">
            <v>0.25</v>
          </cell>
          <cell r="X396">
            <v>0.45</v>
          </cell>
          <cell r="Y396">
            <v>75</v>
          </cell>
        </row>
        <row r="397">
          <cell r="A397" t="str">
            <v>2024-Querétaro</v>
          </cell>
          <cell r="B397" t="str">
            <v>2024-Pumas</v>
          </cell>
          <cell r="C397">
            <v>2024</v>
          </cell>
          <cell r="D397" t="str">
            <v>Querétaro</v>
          </cell>
          <cell r="E397">
            <v>1</v>
          </cell>
          <cell r="F397">
            <v>1</v>
          </cell>
          <cell r="G397" t="str">
            <v>Pumas</v>
          </cell>
          <cell r="H397">
            <v>17.8</v>
          </cell>
          <cell r="I397">
            <v>1.78</v>
          </cell>
          <cell r="J397">
            <v>5.34</v>
          </cell>
          <cell r="K397">
            <v>5.34</v>
          </cell>
          <cell r="L397">
            <v>5.34</v>
          </cell>
          <cell r="M397">
            <v>0.35294117647058826</v>
          </cell>
          <cell r="N397">
            <v>0.11764705882352941</v>
          </cell>
          <cell r="O397">
            <v>0.52941176470588236</v>
          </cell>
          <cell r="P397">
            <v>64</v>
          </cell>
          <cell r="Q397">
            <v>47.6</v>
          </cell>
          <cell r="R397">
            <v>4.76</v>
          </cell>
          <cell r="S397">
            <v>14.28</v>
          </cell>
          <cell r="T397">
            <v>14.28</v>
          </cell>
          <cell r="U397">
            <v>14.28</v>
          </cell>
          <cell r="V397">
            <v>0.3</v>
          </cell>
          <cell r="W397">
            <v>0.25</v>
          </cell>
          <cell r="X397">
            <v>0.45</v>
          </cell>
          <cell r="Y397">
            <v>75</v>
          </cell>
        </row>
        <row r="398">
          <cell r="A398" t="str">
            <v>2024-Pumas</v>
          </cell>
          <cell r="B398" t="str">
            <v>2024-América</v>
          </cell>
          <cell r="C398">
            <v>2024</v>
          </cell>
          <cell r="D398" t="str">
            <v>Pumas</v>
          </cell>
          <cell r="E398">
            <v>2</v>
          </cell>
          <cell r="F398">
            <v>1</v>
          </cell>
          <cell r="G398" t="str">
            <v>América</v>
          </cell>
          <cell r="H398">
            <v>47.6</v>
          </cell>
          <cell r="I398">
            <v>4.76</v>
          </cell>
          <cell r="J398">
            <v>14.28</v>
          </cell>
          <cell r="K398">
            <v>14.28</v>
          </cell>
          <cell r="L398">
            <v>14.28</v>
          </cell>
          <cell r="M398">
            <v>0.5</v>
          </cell>
          <cell r="N398">
            <v>0.16666666666666666</v>
          </cell>
          <cell r="O398">
            <v>0.33333333333333331</v>
          </cell>
          <cell r="P398">
            <v>75</v>
          </cell>
          <cell r="Q398">
            <v>92.45</v>
          </cell>
          <cell r="R398">
            <v>9.25</v>
          </cell>
          <cell r="S398">
            <v>27.73</v>
          </cell>
          <cell r="T398">
            <v>27.73</v>
          </cell>
          <cell r="U398">
            <v>27.73</v>
          </cell>
          <cell r="V398">
            <v>0.375</v>
          </cell>
          <cell r="W398">
            <v>0.29166666666666669</v>
          </cell>
          <cell r="X398">
            <v>0.33333333333333331</v>
          </cell>
          <cell r="Y398">
            <v>133</v>
          </cell>
        </row>
        <row r="399">
          <cell r="A399" t="str">
            <v>2024-Pumas</v>
          </cell>
          <cell r="B399" t="str">
            <v>2024-León</v>
          </cell>
          <cell r="C399">
            <v>2024</v>
          </cell>
          <cell r="D399" t="str">
            <v>Pumas</v>
          </cell>
          <cell r="E399">
            <v>1</v>
          </cell>
          <cell r="F399">
            <v>0</v>
          </cell>
          <cell r="G399" t="str">
            <v>León</v>
          </cell>
          <cell r="H399">
            <v>47.6</v>
          </cell>
          <cell r="I399">
            <v>4.76</v>
          </cell>
          <cell r="J399">
            <v>14.28</v>
          </cell>
          <cell r="K399">
            <v>14.28</v>
          </cell>
          <cell r="L399">
            <v>14.28</v>
          </cell>
          <cell r="M399">
            <v>0.5</v>
          </cell>
          <cell r="N399">
            <v>0.16666666666666666</v>
          </cell>
          <cell r="O399">
            <v>0.33333333333333331</v>
          </cell>
          <cell r="P399">
            <v>75</v>
          </cell>
          <cell r="Q399">
            <v>29.55</v>
          </cell>
          <cell r="R399">
            <v>2.96</v>
          </cell>
          <cell r="S399">
            <v>8.8699999999999992</v>
          </cell>
          <cell r="T399">
            <v>8.8699999999999992</v>
          </cell>
          <cell r="U399">
            <v>8.8699999999999992</v>
          </cell>
          <cell r="V399">
            <v>0.27777777777777779</v>
          </cell>
          <cell r="W399">
            <v>0.27777777777777779</v>
          </cell>
          <cell r="X399">
            <v>0.44444444444444442</v>
          </cell>
          <cell r="Y399">
            <v>87</v>
          </cell>
        </row>
        <row r="400">
          <cell r="A400" t="str">
            <v>2024-Mazatlán</v>
          </cell>
          <cell r="B400" t="str">
            <v>2024-Pumas</v>
          </cell>
          <cell r="C400">
            <v>2024</v>
          </cell>
          <cell r="D400" t="str">
            <v>Mazatlán</v>
          </cell>
          <cell r="E400">
            <v>0</v>
          </cell>
          <cell r="F400">
            <v>4</v>
          </cell>
          <cell r="G400" t="str">
            <v>Pumas</v>
          </cell>
          <cell r="H400">
            <v>31.45</v>
          </cell>
          <cell r="I400">
            <v>3.15</v>
          </cell>
          <cell r="J400">
            <v>9.44</v>
          </cell>
          <cell r="K400">
            <v>9.44</v>
          </cell>
          <cell r="L400">
            <v>9.44</v>
          </cell>
          <cell r="M400">
            <v>0.29411764705882354</v>
          </cell>
          <cell r="N400">
            <v>0.47058823529411764</v>
          </cell>
          <cell r="O400">
            <v>0.23529411764705882</v>
          </cell>
          <cell r="P400">
            <v>40</v>
          </cell>
          <cell r="Q400">
            <v>47.6</v>
          </cell>
          <cell r="R400">
            <v>4.76</v>
          </cell>
          <cell r="S400">
            <v>14.28</v>
          </cell>
          <cell r="T400">
            <v>14.28</v>
          </cell>
          <cell r="U400">
            <v>14.28</v>
          </cell>
          <cell r="V400">
            <v>0.3</v>
          </cell>
          <cell r="W400">
            <v>0.25</v>
          </cell>
          <cell r="X400">
            <v>0.45</v>
          </cell>
          <cell r="Y400">
            <v>75</v>
          </cell>
        </row>
        <row r="401">
          <cell r="A401" t="str">
            <v>2024-Pumas</v>
          </cell>
          <cell r="B401" t="str">
            <v>2024-Cruz Azul</v>
          </cell>
          <cell r="C401">
            <v>2024</v>
          </cell>
          <cell r="D401" t="str">
            <v>Pumas</v>
          </cell>
          <cell r="E401">
            <v>0</v>
          </cell>
          <cell r="F401">
            <v>0</v>
          </cell>
          <cell r="G401" t="str">
            <v>Cruz Azul</v>
          </cell>
          <cell r="H401">
            <v>47.6</v>
          </cell>
          <cell r="I401">
            <v>4.76</v>
          </cell>
          <cell r="J401">
            <v>14.28</v>
          </cell>
          <cell r="K401">
            <v>14.28</v>
          </cell>
          <cell r="L401">
            <v>14.28</v>
          </cell>
          <cell r="M401">
            <v>0.5</v>
          </cell>
          <cell r="N401">
            <v>0.16666666666666666</v>
          </cell>
          <cell r="O401">
            <v>0.33333333333333331</v>
          </cell>
          <cell r="P401">
            <v>75</v>
          </cell>
          <cell r="Q401">
            <v>78.849999999999994</v>
          </cell>
          <cell r="R401">
            <v>7.89</v>
          </cell>
          <cell r="S401">
            <v>23.66</v>
          </cell>
          <cell r="T401">
            <v>23.66</v>
          </cell>
          <cell r="U401">
            <v>23.66</v>
          </cell>
          <cell r="V401">
            <v>0.52380952380952384</v>
          </cell>
          <cell r="W401">
            <v>0.23809523809523808</v>
          </cell>
          <cell r="X401">
            <v>0.23809523809523808</v>
          </cell>
          <cell r="Y401">
            <v>107</v>
          </cell>
        </row>
        <row r="402">
          <cell r="A402" t="str">
            <v>2024-Toluca</v>
          </cell>
          <cell r="B402" t="str">
            <v>2024-Pumas</v>
          </cell>
          <cell r="C402">
            <v>2024</v>
          </cell>
          <cell r="D402" t="str">
            <v>Toluca</v>
          </cell>
          <cell r="E402">
            <v>3</v>
          </cell>
          <cell r="F402">
            <v>0</v>
          </cell>
          <cell r="G402" t="str">
            <v>Pumas</v>
          </cell>
          <cell r="H402">
            <v>77.45</v>
          </cell>
          <cell r="I402">
            <v>7.75</v>
          </cell>
          <cell r="J402">
            <v>23.24</v>
          </cell>
          <cell r="K402">
            <v>23.24</v>
          </cell>
          <cell r="L402">
            <v>23.24</v>
          </cell>
          <cell r="M402">
            <v>0.76190476190476186</v>
          </cell>
          <cell r="N402">
            <v>0.19047619047619047</v>
          </cell>
          <cell r="O402">
            <v>4.7619047619047616E-2</v>
          </cell>
          <cell r="P402">
            <v>118</v>
          </cell>
          <cell r="Q402">
            <v>47.6</v>
          </cell>
          <cell r="R402">
            <v>4.76</v>
          </cell>
          <cell r="S402">
            <v>14.28</v>
          </cell>
          <cell r="T402">
            <v>14.28</v>
          </cell>
          <cell r="U402">
            <v>14.28</v>
          </cell>
          <cell r="V402">
            <v>0.3</v>
          </cell>
          <cell r="W402">
            <v>0.25</v>
          </cell>
          <cell r="X402">
            <v>0.45</v>
          </cell>
          <cell r="Y402">
            <v>75</v>
          </cell>
        </row>
        <row r="403">
          <cell r="A403" t="str">
            <v>2024-Monterrey</v>
          </cell>
          <cell r="B403" t="str">
            <v>2024-Pumas</v>
          </cell>
          <cell r="C403">
            <v>2024</v>
          </cell>
          <cell r="D403" t="str">
            <v>Monterrey</v>
          </cell>
          <cell r="E403">
            <v>3</v>
          </cell>
          <cell r="F403">
            <v>0</v>
          </cell>
          <cell r="G403" t="str">
            <v>Pumas</v>
          </cell>
          <cell r="H403">
            <v>88.6</v>
          </cell>
          <cell r="I403">
            <v>8.86</v>
          </cell>
          <cell r="J403">
            <v>26.58</v>
          </cell>
          <cell r="K403">
            <v>26.58</v>
          </cell>
          <cell r="L403">
            <v>26.58</v>
          </cell>
          <cell r="M403">
            <v>0.60869565217391308</v>
          </cell>
          <cell r="N403">
            <v>0.17391304347826086</v>
          </cell>
          <cell r="O403">
            <v>0.21739130434782608</v>
          </cell>
          <cell r="P403">
            <v>118</v>
          </cell>
          <cell r="Q403">
            <v>47.6</v>
          </cell>
          <cell r="R403">
            <v>4.76</v>
          </cell>
          <cell r="S403">
            <v>14.28</v>
          </cell>
          <cell r="T403">
            <v>14.28</v>
          </cell>
          <cell r="U403">
            <v>14.28</v>
          </cell>
          <cell r="V403">
            <v>0.3</v>
          </cell>
          <cell r="W403">
            <v>0.25</v>
          </cell>
          <cell r="X403">
            <v>0.45</v>
          </cell>
          <cell r="Y403">
            <v>75</v>
          </cell>
        </row>
        <row r="404">
          <cell r="A404" t="str">
            <v>2024-Chivas</v>
          </cell>
          <cell r="B404" t="str">
            <v>2024-Pumas</v>
          </cell>
          <cell r="C404">
            <v>2024</v>
          </cell>
          <cell r="D404" t="str">
            <v>Chivas</v>
          </cell>
          <cell r="E404">
            <v>3</v>
          </cell>
          <cell r="F404">
            <v>1</v>
          </cell>
          <cell r="G404" t="str">
            <v>Pumas</v>
          </cell>
          <cell r="H404">
            <v>70.2</v>
          </cell>
          <cell r="I404">
            <v>7.02</v>
          </cell>
          <cell r="J404">
            <v>21.06</v>
          </cell>
          <cell r="K404">
            <v>21.06</v>
          </cell>
          <cell r="L404">
            <v>21.06</v>
          </cell>
          <cell r="M404">
            <v>0.44444444444444442</v>
          </cell>
          <cell r="N404">
            <v>0.33333333333333331</v>
          </cell>
          <cell r="O404">
            <v>0.22222222222222221</v>
          </cell>
          <cell r="P404">
            <v>99</v>
          </cell>
          <cell r="Q404">
            <v>47.6</v>
          </cell>
          <cell r="R404">
            <v>4.76</v>
          </cell>
          <cell r="S404">
            <v>14.28</v>
          </cell>
          <cell r="T404">
            <v>14.28</v>
          </cell>
          <cell r="U404">
            <v>14.28</v>
          </cell>
          <cell r="V404">
            <v>0.3</v>
          </cell>
          <cell r="W404">
            <v>0.25</v>
          </cell>
          <cell r="X404">
            <v>0.45</v>
          </cell>
          <cell r="Y404">
            <v>75</v>
          </cell>
        </row>
        <row r="405">
          <cell r="A405" t="str">
            <v>2024-Pumas</v>
          </cell>
          <cell r="B405" t="str">
            <v>2024-Santos Laguna</v>
          </cell>
          <cell r="C405">
            <v>2024</v>
          </cell>
          <cell r="D405" t="str">
            <v>Pumas</v>
          </cell>
          <cell r="E405">
            <v>3</v>
          </cell>
          <cell r="F405">
            <v>0</v>
          </cell>
          <cell r="G405" t="str">
            <v>Santos Laguna</v>
          </cell>
          <cell r="H405">
            <v>47.6</v>
          </cell>
          <cell r="I405">
            <v>4.76</v>
          </cell>
          <cell r="J405">
            <v>14.28</v>
          </cell>
          <cell r="K405">
            <v>14.28</v>
          </cell>
          <cell r="L405">
            <v>14.28</v>
          </cell>
          <cell r="M405">
            <v>0.5</v>
          </cell>
          <cell r="N405">
            <v>0.16666666666666666</v>
          </cell>
          <cell r="O405">
            <v>0.33333333333333331</v>
          </cell>
          <cell r="P405">
            <v>75</v>
          </cell>
          <cell r="Q405" t="str">
            <v>NULL</v>
          </cell>
          <cell r="R405" t="str">
            <v>NULL</v>
          </cell>
          <cell r="S405" t="str">
            <v>NULL</v>
          </cell>
          <cell r="T405" t="str">
            <v>NULL</v>
          </cell>
          <cell r="U405" t="str">
            <v>NULL</v>
          </cell>
          <cell r="V405">
            <v>0</v>
          </cell>
          <cell r="W405">
            <v>0.11764705882352941</v>
          </cell>
          <cell r="X405">
            <v>0.88235294117647056</v>
          </cell>
          <cell r="Y405">
            <v>46</v>
          </cell>
        </row>
        <row r="406">
          <cell r="A406" t="str">
            <v>2024-Atlas</v>
          </cell>
          <cell r="B406" t="str">
            <v>2024-Pumas</v>
          </cell>
          <cell r="C406">
            <v>2024</v>
          </cell>
          <cell r="D406" t="str">
            <v>Atlas</v>
          </cell>
          <cell r="E406">
            <v>0</v>
          </cell>
          <cell r="F406">
            <v>0</v>
          </cell>
          <cell r="G406" t="str">
            <v>Pumas</v>
          </cell>
          <cell r="H406">
            <v>28.95</v>
          </cell>
          <cell r="I406">
            <v>2.9</v>
          </cell>
          <cell r="J406">
            <v>8.68</v>
          </cell>
          <cell r="K406">
            <v>8.68</v>
          </cell>
          <cell r="L406">
            <v>8.68</v>
          </cell>
          <cell r="M406" t="str">
            <v>NULL</v>
          </cell>
          <cell r="N406" t="str">
            <v>NULL</v>
          </cell>
          <cell r="O406" t="str">
            <v>NULL</v>
          </cell>
          <cell r="P406">
            <v>60</v>
          </cell>
          <cell r="Q406">
            <v>47.6</v>
          </cell>
          <cell r="R406">
            <v>4.76</v>
          </cell>
          <cell r="S406">
            <v>14.28</v>
          </cell>
          <cell r="T406">
            <v>14.28</v>
          </cell>
          <cell r="U406">
            <v>14.28</v>
          </cell>
          <cell r="V406">
            <v>0.3</v>
          </cell>
          <cell r="W406">
            <v>0.25</v>
          </cell>
          <cell r="X406">
            <v>0.45</v>
          </cell>
          <cell r="Y406">
            <v>75</v>
          </cell>
        </row>
        <row r="407">
          <cell r="A407" t="str">
            <v>2024-Pumas</v>
          </cell>
          <cell r="B407" t="str">
            <v>2024-Puebla</v>
          </cell>
          <cell r="C407">
            <v>2024</v>
          </cell>
          <cell r="D407" t="str">
            <v>Pumas</v>
          </cell>
          <cell r="E407">
            <v>3</v>
          </cell>
          <cell r="F407">
            <v>0</v>
          </cell>
          <cell r="G407" t="str">
            <v>Puebla</v>
          </cell>
          <cell r="H407">
            <v>47.6</v>
          </cell>
          <cell r="I407">
            <v>4.76</v>
          </cell>
          <cell r="J407">
            <v>14.28</v>
          </cell>
          <cell r="K407">
            <v>14.28</v>
          </cell>
          <cell r="L407">
            <v>14.28</v>
          </cell>
          <cell r="M407">
            <v>0.5</v>
          </cell>
          <cell r="N407">
            <v>0.16666666666666666</v>
          </cell>
          <cell r="O407">
            <v>0.33333333333333331</v>
          </cell>
          <cell r="P407">
            <v>75</v>
          </cell>
          <cell r="Q407">
            <v>24.1</v>
          </cell>
          <cell r="R407">
            <v>2.41</v>
          </cell>
          <cell r="S407">
            <v>7.23</v>
          </cell>
          <cell r="T407">
            <v>7.23</v>
          </cell>
          <cell r="U407">
            <v>7.23</v>
          </cell>
          <cell r="V407">
            <v>0.11764705882352941</v>
          </cell>
          <cell r="W407">
            <v>0.17647058823529413</v>
          </cell>
          <cell r="X407">
            <v>0.70588235294117652</v>
          </cell>
          <cell r="Y407">
            <v>34</v>
          </cell>
        </row>
        <row r="408">
          <cell r="A408" t="str">
            <v>2024-Tigres</v>
          </cell>
          <cell r="B408" t="str">
            <v>2024-Pumas</v>
          </cell>
          <cell r="C408">
            <v>2024</v>
          </cell>
          <cell r="D408" t="str">
            <v>Tigres</v>
          </cell>
          <cell r="E408">
            <v>2</v>
          </cell>
          <cell r="F408">
            <v>2</v>
          </cell>
          <cell r="G408" t="str">
            <v>Pumas</v>
          </cell>
          <cell r="H408">
            <v>67</v>
          </cell>
          <cell r="I408">
            <v>6.7</v>
          </cell>
          <cell r="J408">
            <v>20.100000000000001</v>
          </cell>
          <cell r="K408">
            <v>20.100000000000001</v>
          </cell>
          <cell r="L408">
            <v>20.100000000000001</v>
          </cell>
          <cell r="M408">
            <v>0.7</v>
          </cell>
          <cell r="N408">
            <v>0.25</v>
          </cell>
          <cell r="O408">
            <v>0.05</v>
          </cell>
          <cell r="P408">
            <v>107</v>
          </cell>
          <cell r="Q408">
            <v>47.6</v>
          </cell>
          <cell r="R408">
            <v>4.76</v>
          </cell>
          <cell r="S408">
            <v>14.28</v>
          </cell>
          <cell r="T408">
            <v>14.28</v>
          </cell>
          <cell r="U408">
            <v>14.28</v>
          </cell>
          <cell r="V408">
            <v>0.3</v>
          </cell>
          <cell r="W408">
            <v>0.25</v>
          </cell>
          <cell r="X408">
            <v>0.45</v>
          </cell>
          <cell r="Y408">
            <v>75</v>
          </cell>
        </row>
        <row r="409">
          <cell r="A409" t="str">
            <v>2024-Pumas</v>
          </cell>
          <cell r="B409" t="str">
            <v>2024-Necaxa</v>
          </cell>
          <cell r="C409">
            <v>2024</v>
          </cell>
          <cell r="D409" t="str">
            <v>Pumas</v>
          </cell>
          <cell r="E409">
            <v>2</v>
          </cell>
          <cell r="F409">
            <v>2</v>
          </cell>
          <cell r="G409" t="str">
            <v>Necaxa</v>
          </cell>
          <cell r="H409">
            <v>47.6</v>
          </cell>
          <cell r="I409">
            <v>4.76</v>
          </cell>
          <cell r="J409">
            <v>14.28</v>
          </cell>
          <cell r="K409">
            <v>14.28</v>
          </cell>
          <cell r="L409">
            <v>14.28</v>
          </cell>
          <cell r="M409">
            <v>0.5</v>
          </cell>
          <cell r="N409">
            <v>0.16666666666666666</v>
          </cell>
          <cell r="O409">
            <v>0.33333333333333331</v>
          </cell>
          <cell r="P409">
            <v>75</v>
          </cell>
          <cell r="Q409">
            <v>38.5</v>
          </cell>
          <cell r="R409">
            <v>3.85</v>
          </cell>
          <cell r="S409">
            <v>11.55</v>
          </cell>
          <cell r="T409">
            <v>11.55</v>
          </cell>
          <cell r="U409">
            <v>11.55</v>
          </cell>
          <cell r="V409">
            <v>0.27777777777777779</v>
          </cell>
          <cell r="W409">
            <v>0.27777777777777779</v>
          </cell>
          <cell r="X409">
            <v>0.44444444444444442</v>
          </cell>
          <cell r="Y409">
            <v>77</v>
          </cell>
        </row>
        <row r="410">
          <cell r="A410" t="str">
            <v>2024-Pumas</v>
          </cell>
          <cell r="B410" t="str">
            <v>2024-Pachuca</v>
          </cell>
          <cell r="C410">
            <v>2024</v>
          </cell>
          <cell r="D410" t="str">
            <v>Pumas</v>
          </cell>
          <cell r="E410">
            <v>3</v>
          </cell>
          <cell r="F410">
            <v>1</v>
          </cell>
          <cell r="G410" t="str">
            <v>Pachuca</v>
          </cell>
          <cell r="H410">
            <v>47.6</v>
          </cell>
          <cell r="I410">
            <v>4.76</v>
          </cell>
          <cell r="J410">
            <v>14.28</v>
          </cell>
          <cell r="K410">
            <v>14.28</v>
          </cell>
          <cell r="L410">
            <v>14.28</v>
          </cell>
          <cell r="M410">
            <v>0.5</v>
          </cell>
          <cell r="N410">
            <v>0.16666666666666666</v>
          </cell>
          <cell r="O410">
            <v>0.33333333333333331</v>
          </cell>
          <cell r="P410">
            <v>75</v>
          </cell>
          <cell r="Q410">
            <v>56.6</v>
          </cell>
          <cell r="R410">
            <v>5.66</v>
          </cell>
          <cell r="S410">
            <v>16.98</v>
          </cell>
          <cell r="T410">
            <v>16.98</v>
          </cell>
          <cell r="U410">
            <v>16.98</v>
          </cell>
          <cell r="V410">
            <v>0.26315789473684209</v>
          </cell>
          <cell r="W410">
            <v>0.15789473684210525</v>
          </cell>
          <cell r="X410">
            <v>0.57894736842105265</v>
          </cell>
          <cell r="Y410">
            <v>98</v>
          </cell>
        </row>
        <row r="411">
          <cell r="A411" t="str">
            <v>2024-Atlético San Luis</v>
          </cell>
          <cell r="B411" t="str">
            <v>2024-Pumas</v>
          </cell>
          <cell r="C411">
            <v>2024</v>
          </cell>
          <cell r="D411" t="str">
            <v>Atlético San Luis</v>
          </cell>
          <cell r="E411">
            <v>3</v>
          </cell>
          <cell r="F411">
            <v>1</v>
          </cell>
          <cell r="G411" t="str">
            <v>Pumas</v>
          </cell>
          <cell r="H411">
            <v>45.95</v>
          </cell>
          <cell r="I411">
            <v>4.5999999999999996</v>
          </cell>
          <cell r="J411">
            <v>13.84</v>
          </cell>
          <cell r="K411">
            <v>13.84</v>
          </cell>
          <cell r="L411">
            <v>13.84</v>
          </cell>
          <cell r="M411">
            <v>0.68421052631578949</v>
          </cell>
          <cell r="N411">
            <v>5.2631578947368418E-2</v>
          </cell>
          <cell r="O411">
            <v>0.26315789473684209</v>
          </cell>
          <cell r="P411">
            <v>59</v>
          </cell>
          <cell r="Q411">
            <v>47.6</v>
          </cell>
          <cell r="R411">
            <v>4.76</v>
          </cell>
          <cell r="S411">
            <v>14.28</v>
          </cell>
          <cell r="T411">
            <v>14.28</v>
          </cell>
          <cell r="U411">
            <v>14.28</v>
          </cell>
          <cell r="V411">
            <v>0.3</v>
          </cell>
          <cell r="W411">
            <v>0.25</v>
          </cell>
          <cell r="X411">
            <v>0.45</v>
          </cell>
          <cell r="Y411">
            <v>75</v>
          </cell>
        </row>
        <row r="412">
          <cell r="A412" t="str">
            <v>2023-Tigres</v>
          </cell>
          <cell r="B412" t="str">
            <v>2023-Pumas</v>
          </cell>
          <cell r="C412">
            <v>2023</v>
          </cell>
          <cell r="D412" t="str">
            <v>Tigres</v>
          </cell>
          <cell r="E412">
            <v>1</v>
          </cell>
          <cell r="F412">
            <v>1</v>
          </cell>
          <cell r="G412" t="str">
            <v>Pumas</v>
          </cell>
          <cell r="H412">
            <v>67.599999999999994</v>
          </cell>
          <cell r="I412">
            <v>6.76</v>
          </cell>
          <cell r="J412">
            <v>20.28</v>
          </cell>
          <cell r="K412">
            <v>20.28</v>
          </cell>
          <cell r="L412">
            <v>20.28</v>
          </cell>
          <cell r="M412">
            <v>0.7</v>
          </cell>
          <cell r="N412">
            <v>0.25</v>
          </cell>
          <cell r="O412">
            <v>0.05</v>
          </cell>
          <cell r="P412">
            <v>107</v>
          </cell>
          <cell r="Q412" t="str">
            <v>NULL</v>
          </cell>
          <cell r="R412" t="str">
            <v>NULL</v>
          </cell>
          <cell r="S412" t="str">
            <v>NULL</v>
          </cell>
          <cell r="T412" t="str">
            <v>NULL</v>
          </cell>
          <cell r="U412" t="str">
            <v>NULL</v>
          </cell>
          <cell r="V412">
            <v>0.3</v>
          </cell>
          <cell r="W412">
            <v>0.25</v>
          </cell>
          <cell r="X412">
            <v>0.45</v>
          </cell>
          <cell r="Y412">
            <v>75</v>
          </cell>
        </row>
        <row r="413">
          <cell r="A413" t="str">
            <v>2023-Pumas</v>
          </cell>
          <cell r="B413" t="str">
            <v>2023-Chivas</v>
          </cell>
          <cell r="C413">
            <v>2023</v>
          </cell>
          <cell r="D413" t="str">
            <v>Pumas</v>
          </cell>
          <cell r="E413">
            <v>3</v>
          </cell>
          <cell r="F413">
            <v>0</v>
          </cell>
          <cell r="G413" t="str">
            <v>Chivas</v>
          </cell>
          <cell r="H413" t="str">
            <v>NULL</v>
          </cell>
          <cell r="I413" t="str">
            <v>NULL</v>
          </cell>
          <cell r="J413" t="str">
            <v>NULL</v>
          </cell>
          <cell r="K413" t="str">
            <v>NULL</v>
          </cell>
          <cell r="L413" t="str">
            <v>NULL</v>
          </cell>
          <cell r="M413">
            <v>0.5</v>
          </cell>
          <cell r="N413">
            <v>0.16666666666666666</v>
          </cell>
          <cell r="O413">
            <v>0.33333333333333331</v>
          </cell>
          <cell r="P413">
            <v>75</v>
          </cell>
          <cell r="Q413" t="str">
            <v>NULL</v>
          </cell>
          <cell r="R413" t="str">
            <v>NULL</v>
          </cell>
          <cell r="S413" t="str">
            <v>NULL</v>
          </cell>
          <cell r="T413" t="str">
            <v>NULL</v>
          </cell>
          <cell r="U413" t="str">
            <v>NULL</v>
          </cell>
          <cell r="V413">
            <v>0.23529411764705882</v>
          </cell>
          <cell r="W413">
            <v>0.23529411764705882</v>
          </cell>
          <cell r="X413">
            <v>0.52941176470588236</v>
          </cell>
          <cell r="Y413">
            <v>99</v>
          </cell>
        </row>
        <row r="414">
          <cell r="A414" t="str">
            <v>2023-Chivas</v>
          </cell>
          <cell r="B414" t="str">
            <v>2023-Pumas</v>
          </cell>
          <cell r="C414">
            <v>2023</v>
          </cell>
          <cell r="D414" t="str">
            <v>Chivas</v>
          </cell>
          <cell r="E414">
            <v>1</v>
          </cell>
          <cell r="F414">
            <v>0</v>
          </cell>
          <cell r="G414" t="str">
            <v>Pumas</v>
          </cell>
          <cell r="H414">
            <v>69.7</v>
          </cell>
          <cell r="I414">
            <v>6.97</v>
          </cell>
          <cell r="J414">
            <v>20.91</v>
          </cell>
          <cell r="K414">
            <v>20.91</v>
          </cell>
          <cell r="L414">
            <v>20.91</v>
          </cell>
          <cell r="M414">
            <v>0.44444444444444442</v>
          </cell>
          <cell r="N414">
            <v>0.33333333333333331</v>
          </cell>
          <cell r="O414">
            <v>0.22222222222222221</v>
          </cell>
          <cell r="P414">
            <v>99</v>
          </cell>
          <cell r="Q414" t="str">
            <v>NULL</v>
          </cell>
          <cell r="R414" t="str">
            <v>NULL</v>
          </cell>
          <cell r="S414" t="str">
            <v>NULL</v>
          </cell>
          <cell r="T414" t="str">
            <v>NULL</v>
          </cell>
          <cell r="U414" t="str">
            <v>NULL</v>
          </cell>
          <cell r="V414">
            <v>0.3</v>
          </cell>
          <cell r="W414">
            <v>0.25</v>
          </cell>
          <cell r="X414">
            <v>0.45</v>
          </cell>
          <cell r="Y414">
            <v>75</v>
          </cell>
        </row>
        <row r="415">
          <cell r="A415" t="str">
            <v>2023-Pumas</v>
          </cell>
          <cell r="B415" t="str">
            <v>2023-Chivas</v>
          </cell>
          <cell r="C415">
            <v>2023</v>
          </cell>
          <cell r="D415" t="str">
            <v>Pumas</v>
          </cell>
          <cell r="E415">
            <v>1</v>
          </cell>
          <cell r="F415">
            <v>0</v>
          </cell>
          <cell r="G415" t="str">
            <v>Chivas</v>
          </cell>
          <cell r="H415" t="str">
            <v>NULL</v>
          </cell>
          <cell r="I415" t="str">
            <v>NULL</v>
          </cell>
          <cell r="J415" t="str">
            <v>NULL</v>
          </cell>
          <cell r="K415" t="str">
            <v>NULL</v>
          </cell>
          <cell r="L415" t="str">
            <v>NULL</v>
          </cell>
          <cell r="M415">
            <v>0.5</v>
          </cell>
          <cell r="N415">
            <v>0.16666666666666666</v>
          </cell>
          <cell r="O415">
            <v>0.33333333333333331</v>
          </cell>
          <cell r="P415">
            <v>75</v>
          </cell>
          <cell r="Q415" t="str">
            <v>NULL</v>
          </cell>
          <cell r="R415" t="str">
            <v>NULL</v>
          </cell>
          <cell r="S415" t="str">
            <v>NULL</v>
          </cell>
          <cell r="T415" t="str">
            <v>NULL</v>
          </cell>
          <cell r="U415" t="str">
            <v>NULL</v>
          </cell>
          <cell r="V415">
            <v>0.23529411764705882</v>
          </cell>
          <cell r="W415">
            <v>0.23529411764705882</v>
          </cell>
          <cell r="X415">
            <v>0.52941176470588236</v>
          </cell>
          <cell r="Y415">
            <v>99</v>
          </cell>
        </row>
        <row r="416">
          <cell r="A416" t="str">
            <v>2023-Pumas</v>
          </cell>
          <cell r="B416" t="str">
            <v>2023-Atlas</v>
          </cell>
          <cell r="C416">
            <v>2023</v>
          </cell>
          <cell r="D416" t="str">
            <v>Pumas</v>
          </cell>
          <cell r="E416">
            <v>3</v>
          </cell>
          <cell r="F416">
            <v>0</v>
          </cell>
          <cell r="G416" t="str">
            <v>Atlas</v>
          </cell>
          <cell r="H416" t="str">
            <v>NULL</v>
          </cell>
          <cell r="I416" t="str">
            <v>NULL</v>
          </cell>
          <cell r="J416" t="str">
            <v>NULL</v>
          </cell>
          <cell r="K416" t="str">
            <v>NULL</v>
          </cell>
          <cell r="L416" t="str">
            <v>NULL</v>
          </cell>
          <cell r="M416">
            <v>0.5</v>
          </cell>
          <cell r="N416">
            <v>0.16666666666666666</v>
          </cell>
          <cell r="O416">
            <v>0.33333333333333331</v>
          </cell>
          <cell r="P416">
            <v>75</v>
          </cell>
          <cell r="Q416">
            <v>30.7</v>
          </cell>
          <cell r="R416">
            <v>3.07</v>
          </cell>
          <cell r="S416">
            <v>9.2100000000000009</v>
          </cell>
          <cell r="T416">
            <v>9.2100000000000009</v>
          </cell>
          <cell r="U416">
            <v>9.2100000000000009</v>
          </cell>
          <cell r="V416">
            <v>0.26315789473684209</v>
          </cell>
          <cell r="W416">
            <v>0.31578947368421051</v>
          </cell>
          <cell r="X416">
            <v>0.42105263157894735</v>
          </cell>
          <cell r="Y416">
            <v>60</v>
          </cell>
        </row>
        <row r="417">
          <cell r="A417" t="str">
            <v>2023-León</v>
          </cell>
          <cell r="B417" t="str">
            <v>2023-Pumas</v>
          </cell>
          <cell r="C417">
            <v>2023</v>
          </cell>
          <cell r="D417" t="str">
            <v>León</v>
          </cell>
          <cell r="E417">
            <v>1</v>
          </cell>
          <cell r="F417">
            <v>1</v>
          </cell>
          <cell r="G417" t="str">
            <v>Pumas</v>
          </cell>
          <cell r="H417">
            <v>41.5</v>
          </cell>
          <cell r="I417">
            <v>4.1500000000000004</v>
          </cell>
          <cell r="J417">
            <v>12.45</v>
          </cell>
          <cell r="K417">
            <v>12.45</v>
          </cell>
          <cell r="L417">
            <v>12.45</v>
          </cell>
          <cell r="M417">
            <v>0.3888888888888889</v>
          </cell>
          <cell r="N417">
            <v>0.3888888888888889</v>
          </cell>
          <cell r="O417">
            <v>0.22222222222222221</v>
          </cell>
          <cell r="P417">
            <v>87</v>
          </cell>
          <cell r="Q417" t="str">
            <v>NULL</v>
          </cell>
          <cell r="R417" t="str">
            <v>NULL</v>
          </cell>
          <cell r="S417" t="str">
            <v>NULL</v>
          </cell>
          <cell r="T417" t="str">
            <v>NULL</v>
          </cell>
          <cell r="U417" t="str">
            <v>NULL</v>
          </cell>
          <cell r="V417">
            <v>0.3</v>
          </cell>
          <cell r="W417">
            <v>0.25</v>
          </cell>
          <cell r="X417">
            <v>0.45</v>
          </cell>
          <cell r="Y417">
            <v>75</v>
          </cell>
        </row>
        <row r="418">
          <cell r="A418" t="str">
            <v>2023-Necaxa</v>
          </cell>
          <cell r="B418" t="str">
            <v>2023-Pumas</v>
          </cell>
          <cell r="C418">
            <v>2023</v>
          </cell>
          <cell r="D418" t="str">
            <v>Necaxa</v>
          </cell>
          <cell r="E418">
            <v>1</v>
          </cell>
          <cell r="F418">
            <v>0</v>
          </cell>
          <cell r="G418" t="str">
            <v>Pumas</v>
          </cell>
          <cell r="H418">
            <v>40</v>
          </cell>
          <cell r="I418">
            <v>4</v>
          </cell>
          <cell r="J418">
            <v>12</v>
          </cell>
          <cell r="K418">
            <v>12</v>
          </cell>
          <cell r="L418">
            <v>12</v>
          </cell>
          <cell r="M418">
            <v>0.44444444444444442</v>
          </cell>
          <cell r="N418">
            <v>0.22222222222222221</v>
          </cell>
          <cell r="O418">
            <v>0.33333333333333331</v>
          </cell>
          <cell r="P418">
            <v>77</v>
          </cell>
          <cell r="Q418" t="str">
            <v>NULL</v>
          </cell>
          <cell r="R418" t="str">
            <v>NULL</v>
          </cell>
          <cell r="S418" t="str">
            <v>NULL</v>
          </cell>
          <cell r="T418" t="str">
            <v>NULL</v>
          </cell>
          <cell r="U418" t="str">
            <v>NULL</v>
          </cell>
          <cell r="V418">
            <v>0.3</v>
          </cell>
          <cell r="W418">
            <v>0.25</v>
          </cell>
          <cell r="X418">
            <v>0.45</v>
          </cell>
          <cell r="Y418">
            <v>75</v>
          </cell>
        </row>
        <row r="419">
          <cell r="A419" t="str">
            <v>2023-Pumas</v>
          </cell>
          <cell r="B419" t="str">
            <v>2023-Monterrey</v>
          </cell>
          <cell r="C419">
            <v>2023</v>
          </cell>
          <cell r="D419" t="str">
            <v>Pumas</v>
          </cell>
          <cell r="E419">
            <v>0</v>
          </cell>
          <cell r="F419">
            <v>1</v>
          </cell>
          <cell r="G419" t="str">
            <v>Monterrey</v>
          </cell>
          <cell r="H419" t="str">
            <v>NULL</v>
          </cell>
          <cell r="I419" t="str">
            <v>NULL</v>
          </cell>
          <cell r="J419" t="str">
            <v>NULL</v>
          </cell>
          <cell r="K419" t="str">
            <v>NULL</v>
          </cell>
          <cell r="L419" t="str">
            <v>NULL</v>
          </cell>
          <cell r="M419">
            <v>0.5</v>
          </cell>
          <cell r="N419">
            <v>0.16666666666666666</v>
          </cell>
          <cell r="O419">
            <v>0.33333333333333331</v>
          </cell>
          <cell r="P419">
            <v>75</v>
          </cell>
          <cell r="Q419">
            <v>88.1</v>
          </cell>
          <cell r="R419">
            <v>8.81</v>
          </cell>
          <cell r="S419">
            <v>26.43</v>
          </cell>
          <cell r="T419">
            <v>26.43</v>
          </cell>
          <cell r="U419">
            <v>26.43</v>
          </cell>
          <cell r="V419">
            <v>0.38095238095238093</v>
          </cell>
          <cell r="W419">
            <v>0.23809523809523808</v>
          </cell>
          <cell r="X419">
            <v>0.38095238095238093</v>
          </cell>
          <cell r="Y419">
            <v>118</v>
          </cell>
        </row>
        <row r="420">
          <cell r="A420" t="str">
            <v>2023-Cruz Azul</v>
          </cell>
          <cell r="B420" t="str">
            <v>2023-Pumas</v>
          </cell>
          <cell r="C420">
            <v>2023</v>
          </cell>
          <cell r="D420" t="str">
            <v>Cruz Azul</v>
          </cell>
          <cell r="E420">
            <v>1</v>
          </cell>
          <cell r="F420">
            <v>4</v>
          </cell>
          <cell r="G420" t="str">
            <v>Pumas</v>
          </cell>
          <cell r="H420">
            <v>72.2</v>
          </cell>
          <cell r="I420">
            <v>7.22</v>
          </cell>
          <cell r="J420">
            <v>21.66</v>
          </cell>
          <cell r="K420">
            <v>21.66</v>
          </cell>
          <cell r="L420">
            <v>21.66</v>
          </cell>
          <cell r="M420">
            <v>0.7142857142857143</v>
          </cell>
          <cell r="N420">
            <v>0.23809523809523808</v>
          </cell>
          <cell r="O420">
            <v>4.7619047619047616E-2</v>
          </cell>
          <cell r="P420">
            <v>107</v>
          </cell>
          <cell r="Q420" t="str">
            <v>NULL</v>
          </cell>
          <cell r="R420" t="str">
            <v>NULL</v>
          </cell>
          <cell r="S420" t="str">
            <v>NULL</v>
          </cell>
          <cell r="T420" t="str">
            <v>NULL</v>
          </cell>
          <cell r="U420" t="str">
            <v>NULL</v>
          </cell>
          <cell r="V420">
            <v>0.3</v>
          </cell>
          <cell r="W420">
            <v>0.25</v>
          </cell>
          <cell r="X420">
            <v>0.45</v>
          </cell>
          <cell r="Y420">
            <v>75</v>
          </cell>
        </row>
        <row r="421">
          <cell r="A421" t="str">
            <v>2023-Pumas</v>
          </cell>
          <cell r="B421" t="str">
            <v>2023-Querétaro</v>
          </cell>
          <cell r="C421">
            <v>2023</v>
          </cell>
          <cell r="D421" t="str">
            <v>Pumas</v>
          </cell>
          <cell r="E421">
            <v>4</v>
          </cell>
          <cell r="F421">
            <v>0</v>
          </cell>
          <cell r="G421" t="str">
            <v>Querétaro</v>
          </cell>
          <cell r="H421" t="str">
            <v>NULL</v>
          </cell>
          <cell r="I421" t="str">
            <v>NULL</v>
          </cell>
          <cell r="J421" t="str">
            <v>NULL</v>
          </cell>
          <cell r="K421" t="str">
            <v>NULL</v>
          </cell>
          <cell r="L421" t="str">
            <v>NULL</v>
          </cell>
          <cell r="M421">
            <v>0.5</v>
          </cell>
          <cell r="N421">
            <v>0.16666666666666666</v>
          </cell>
          <cell r="O421">
            <v>0.33333333333333331</v>
          </cell>
          <cell r="P421">
            <v>75</v>
          </cell>
          <cell r="Q421" t="str">
            <v>NULL</v>
          </cell>
          <cell r="R421" t="str">
            <v>NULL</v>
          </cell>
          <cell r="S421" t="str">
            <v>NULL</v>
          </cell>
          <cell r="T421" t="str">
            <v>NULL</v>
          </cell>
          <cell r="U421" t="str">
            <v>NULL</v>
          </cell>
          <cell r="V421">
            <v>0.17647058823529413</v>
          </cell>
          <cell r="W421">
            <v>0.17647058823529413</v>
          </cell>
          <cell r="X421">
            <v>0.6470588235294118</v>
          </cell>
          <cell r="Y421">
            <v>64</v>
          </cell>
        </row>
        <row r="422">
          <cell r="A422" t="str">
            <v>2023-América</v>
          </cell>
          <cell r="B422" t="str">
            <v>2023-Pumas</v>
          </cell>
          <cell r="C422">
            <v>2023</v>
          </cell>
          <cell r="D422" t="str">
            <v>América</v>
          </cell>
          <cell r="E422">
            <v>1</v>
          </cell>
          <cell r="F422">
            <v>0</v>
          </cell>
          <cell r="G422" t="str">
            <v>Pumas</v>
          </cell>
          <cell r="H422">
            <v>84.2</v>
          </cell>
          <cell r="I422">
            <v>8.42</v>
          </cell>
          <cell r="J422">
            <v>25.26</v>
          </cell>
          <cell r="K422">
            <v>25.26</v>
          </cell>
          <cell r="L422">
            <v>25.26</v>
          </cell>
          <cell r="M422">
            <v>0.65217391304347827</v>
          </cell>
          <cell r="N422">
            <v>0.21739130434782608</v>
          </cell>
          <cell r="O422">
            <v>0.13043478260869565</v>
          </cell>
          <cell r="P422">
            <v>133</v>
          </cell>
          <cell r="Q422" t="str">
            <v>NULL</v>
          </cell>
          <cell r="R422" t="str">
            <v>NULL</v>
          </cell>
          <cell r="S422" t="str">
            <v>NULL</v>
          </cell>
          <cell r="T422" t="str">
            <v>NULL</v>
          </cell>
          <cell r="U422" t="str">
            <v>NULL</v>
          </cell>
          <cell r="V422">
            <v>0.3</v>
          </cell>
          <cell r="W422">
            <v>0.25</v>
          </cell>
          <cell r="X422">
            <v>0.45</v>
          </cell>
          <cell r="Y422">
            <v>75</v>
          </cell>
        </row>
        <row r="423">
          <cell r="A423" t="str">
            <v>2023-Puebla</v>
          </cell>
          <cell r="B423" t="str">
            <v>2023-Pumas</v>
          </cell>
          <cell r="C423">
            <v>2023</v>
          </cell>
          <cell r="D423" t="str">
            <v>Puebla</v>
          </cell>
          <cell r="E423">
            <v>0</v>
          </cell>
          <cell r="F423">
            <v>2</v>
          </cell>
          <cell r="G423" t="str">
            <v>Pumas</v>
          </cell>
          <cell r="H423">
            <v>26.7</v>
          </cell>
          <cell r="I423">
            <v>2.67</v>
          </cell>
          <cell r="J423">
            <v>8.01</v>
          </cell>
          <cell r="K423">
            <v>8.01</v>
          </cell>
          <cell r="L423">
            <v>8.01</v>
          </cell>
          <cell r="M423">
            <v>0.23529411764705882</v>
          </cell>
          <cell r="N423">
            <v>0.11764705882352941</v>
          </cell>
          <cell r="O423">
            <v>0.6470588235294118</v>
          </cell>
          <cell r="P423">
            <v>34</v>
          </cell>
          <cell r="Q423" t="str">
            <v>NULL</v>
          </cell>
          <cell r="R423" t="str">
            <v>NULL</v>
          </cell>
          <cell r="S423" t="str">
            <v>NULL</v>
          </cell>
          <cell r="T423" t="str">
            <v>NULL</v>
          </cell>
          <cell r="U423" t="str">
            <v>NULL</v>
          </cell>
          <cell r="V423">
            <v>0.3</v>
          </cell>
          <cell r="W423">
            <v>0.25</v>
          </cell>
          <cell r="X423">
            <v>0.45</v>
          </cell>
          <cell r="Y423">
            <v>75</v>
          </cell>
        </row>
        <row r="424">
          <cell r="A424" t="str">
            <v>2023-Pumas</v>
          </cell>
          <cell r="B424" t="str">
            <v>2023-Atlético San Luis</v>
          </cell>
          <cell r="C424">
            <v>2023</v>
          </cell>
          <cell r="D424" t="str">
            <v>Pumas</v>
          </cell>
          <cell r="E424">
            <v>3</v>
          </cell>
          <cell r="F424">
            <v>2</v>
          </cell>
          <cell r="G424" t="str">
            <v>Atlético San Luis</v>
          </cell>
          <cell r="H424" t="str">
            <v>NULL</v>
          </cell>
          <cell r="I424" t="str">
            <v>NULL</v>
          </cell>
          <cell r="J424" t="str">
            <v>NULL</v>
          </cell>
          <cell r="K424" t="str">
            <v>NULL</v>
          </cell>
          <cell r="L424" t="str">
            <v>NULL</v>
          </cell>
          <cell r="M424">
            <v>0.5</v>
          </cell>
          <cell r="N424">
            <v>0.16666666666666666</v>
          </cell>
          <cell r="O424">
            <v>0.33333333333333331</v>
          </cell>
          <cell r="P424">
            <v>75</v>
          </cell>
          <cell r="Q424">
            <v>35.85</v>
          </cell>
          <cell r="R424">
            <v>3.59</v>
          </cell>
          <cell r="S424">
            <v>10.77</v>
          </cell>
          <cell r="T424">
            <v>10.77</v>
          </cell>
          <cell r="U424">
            <v>10.77</v>
          </cell>
          <cell r="V424">
            <v>0.21052631578947367</v>
          </cell>
          <cell r="W424">
            <v>0.15789473684210525</v>
          </cell>
          <cell r="X424">
            <v>0.63157894736842102</v>
          </cell>
          <cell r="Y424">
            <v>59</v>
          </cell>
        </row>
        <row r="425">
          <cell r="A425" t="str">
            <v>2023-Santos Laguna</v>
          </cell>
          <cell r="B425" t="str">
            <v>2023-Pumas</v>
          </cell>
          <cell r="C425">
            <v>2023</v>
          </cell>
          <cell r="D425" t="str">
            <v>Santos Laguna</v>
          </cell>
          <cell r="E425">
            <v>2</v>
          </cell>
          <cell r="F425">
            <v>1</v>
          </cell>
          <cell r="G425" t="str">
            <v>Pumas</v>
          </cell>
          <cell r="H425">
            <v>46</v>
          </cell>
          <cell r="I425">
            <v>4.5999999999999996</v>
          </cell>
          <cell r="J425">
            <v>13.8</v>
          </cell>
          <cell r="K425">
            <v>13.8</v>
          </cell>
          <cell r="L425">
            <v>13.8</v>
          </cell>
          <cell r="M425">
            <v>0.23529411764705882</v>
          </cell>
          <cell r="N425">
            <v>0.17647058823529413</v>
          </cell>
          <cell r="O425">
            <v>0.58823529411764708</v>
          </cell>
          <cell r="P425">
            <v>46</v>
          </cell>
          <cell r="Q425" t="str">
            <v>NULL</v>
          </cell>
          <cell r="R425" t="str">
            <v>NULL</v>
          </cell>
          <cell r="S425" t="str">
            <v>NULL</v>
          </cell>
          <cell r="T425" t="str">
            <v>NULL</v>
          </cell>
          <cell r="U425" t="str">
            <v>NULL</v>
          </cell>
          <cell r="V425">
            <v>0.3</v>
          </cell>
          <cell r="W425">
            <v>0.25</v>
          </cell>
          <cell r="X425">
            <v>0.45</v>
          </cell>
          <cell r="Y425">
            <v>75</v>
          </cell>
        </row>
        <row r="426">
          <cell r="A426" t="str">
            <v>2023-Pumas</v>
          </cell>
          <cell r="B426" t="str">
            <v>2023-Tigres</v>
          </cell>
          <cell r="C426">
            <v>2023</v>
          </cell>
          <cell r="D426" t="str">
            <v>Pumas</v>
          </cell>
          <cell r="E426">
            <v>2</v>
          </cell>
          <cell r="F426">
            <v>1</v>
          </cell>
          <cell r="G426" t="str">
            <v>Tigres</v>
          </cell>
          <cell r="H426" t="str">
            <v>NULL</v>
          </cell>
          <cell r="I426" t="str">
            <v>NULL</v>
          </cell>
          <cell r="J426" t="str">
            <v>NULL</v>
          </cell>
          <cell r="K426" t="str">
            <v>NULL</v>
          </cell>
          <cell r="L426" t="str">
            <v>NULL</v>
          </cell>
          <cell r="M426">
            <v>0.5</v>
          </cell>
          <cell r="N426">
            <v>0.16666666666666666</v>
          </cell>
          <cell r="O426">
            <v>0.33333333333333331</v>
          </cell>
          <cell r="P426">
            <v>75</v>
          </cell>
          <cell r="Q426" t="str">
            <v>NULL</v>
          </cell>
          <cell r="R426" t="str">
            <v>NULL</v>
          </cell>
          <cell r="S426" t="str">
            <v>NULL</v>
          </cell>
          <cell r="T426" t="str">
            <v>NULL</v>
          </cell>
          <cell r="U426" t="str">
            <v>NULL</v>
          </cell>
          <cell r="V426">
            <v>0.3</v>
          </cell>
          <cell r="W426">
            <v>0.3</v>
          </cell>
          <cell r="X426">
            <v>0.4</v>
          </cell>
          <cell r="Y426">
            <v>107</v>
          </cell>
        </row>
        <row r="427">
          <cell r="A427" t="str">
            <v>2023-Juarez</v>
          </cell>
          <cell r="B427" t="str">
            <v>2023-Pumas</v>
          </cell>
          <cell r="C427">
            <v>2023</v>
          </cell>
          <cell r="D427" t="str">
            <v>Juarez</v>
          </cell>
          <cell r="E427">
            <v>4</v>
          </cell>
          <cell r="F427">
            <v>1</v>
          </cell>
          <cell r="G427" t="str">
            <v>Pumas</v>
          </cell>
          <cell r="H427" t="str">
            <v>NULL</v>
          </cell>
          <cell r="I427" t="str">
            <v>NULL</v>
          </cell>
          <cell r="J427" t="str">
            <v>NULL</v>
          </cell>
          <cell r="K427" t="str">
            <v>NULL</v>
          </cell>
          <cell r="L427" t="str">
            <v>NULL</v>
          </cell>
          <cell r="M427">
            <v>0.27777777777777779</v>
          </cell>
          <cell r="N427">
            <v>0.33333333333333331</v>
          </cell>
          <cell r="O427">
            <v>0.3888888888888889</v>
          </cell>
          <cell r="P427">
            <v>55</v>
          </cell>
          <cell r="Q427" t="str">
            <v>NULL</v>
          </cell>
          <cell r="R427" t="str">
            <v>NULL</v>
          </cell>
          <cell r="S427" t="str">
            <v>NULL</v>
          </cell>
          <cell r="T427" t="str">
            <v>NULL</v>
          </cell>
          <cell r="U427" t="str">
            <v>NULL</v>
          </cell>
          <cell r="V427">
            <v>0.3</v>
          </cell>
          <cell r="W427">
            <v>0.25</v>
          </cell>
          <cell r="X427">
            <v>0.45</v>
          </cell>
          <cell r="Y427">
            <v>75</v>
          </cell>
        </row>
        <row r="428">
          <cell r="A428" t="str">
            <v>2023-Pumas</v>
          </cell>
          <cell r="B428" t="str">
            <v>2023-Toluca</v>
          </cell>
          <cell r="C428">
            <v>2023</v>
          </cell>
          <cell r="D428" t="str">
            <v>Pumas</v>
          </cell>
          <cell r="E428">
            <v>1</v>
          </cell>
          <cell r="F428">
            <v>1</v>
          </cell>
          <cell r="G428" t="str">
            <v>Toluca</v>
          </cell>
          <cell r="H428" t="str">
            <v>NULL</v>
          </cell>
          <cell r="I428" t="str">
            <v>NULL</v>
          </cell>
          <cell r="J428" t="str">
            <v>NULL</v>
          </cell>
          <cell r="K428" t="str">
            <v>NULL</v>
          </cell>
          <cell r="L428" t="str">
            <v>NULL</v>
          </cell>
          <cell r="M428">
            <v>0.5</v>
          </cell>
          <cell r="N428">
            <v>0.16666666666666666</v>
          </cell>
          <cell r="O428">
            <v>0.33333333333333331</v>
          </cell>
          <cell r="P428">
            <v>75</v>
          </cell>
          <cell r="Q428">
            <v>66.2</v>
          </cell>
          <cell r="R428">
            <v>6.62</v>
          </cell>
          <cell r="S428">
            <v>19.86</v>
          </cell>
          <cell r="T428">
            <v>19.86</v>
          </cell>
          <cell r="U428">
            <v>19.86</v>
          </cell>
          <cell r="V428">
            <v>0.38095238095238093</v>
          </cell>
          <cell r="W428">
            <v>0.33333333333333331</v>
          </cell>
          <cell r="X428">
            <v>0.2857142857142857</v>
          </cell>
          <cell r="Y428">
            <v>118</v>
          </cell>
        </row>
        <row r="429">
          <cell r="A429" t="str">
            <v>2023-Pachuca</v>
          </cell>
          <cell r="B429" t="str">
            <v>2023-Pumas</v>
          </cell>
          <cell r="C429">
            <v>2023</v>
          </cell>
          <cell r="D429" t="str">
            <v>Pachuca</v>
          </cell>
          <cell r="E429">
            <v>1</v>
          </cell>
          <cell r="F429">
            <v>1</v>
          </cell>
          <cell r="G429" t="str">
            <v>Pumas</v>
          </cell>
          <cell r="H429">
            <v>51.25</v>
          </cell>
          <cell r="I429">
            <v>5.13</v>
          </cell>
          <cell r="J429">
            <v>15.38</v>
          </cell>
          <cell r="K429">
            <v>15.38</v>
          </cell>
          <cell r="L429">
            <v>15.38</v>
          </cell>
          <cell r="M429">
            <v>0.3888888888888889</v>
          </cell>
          <cell r="N429">
            <v>0.33333333333333331</v>
          </cell>
          <cell r="O429">
            <v>0.27777777777777779</v>
          </cell>
          <cell r="P429">
            <v>98</v>
          </cell>
          <cell r="Q429" t="str">
            <v>NULL</v>
          </cell>
          <cell r="R429" t="str">
            <v>NULL</v>
          </cell>
          <cell r="S429" t="str">
            <v>NULL</v>
          </cell>
          <cell r="T429" t="str">
            <v>NULL</v>
          </cell>
          <cell r="U429" t="str">
            <v>NULL</v>
          </cell>
          <cell r="V429">
            <v>0.3</v>
          </cell>
          <cell r="W429">
            <v>0.25</v>
          </cell>
          <cell r="X429">
            <v>0.45</v>
          </cell>
          <cell r="Y429">
            <v>75</v>
          </cell>
        </row>
        <row r="430">
          <cell r="A430" t="str">
            <v>2023-Pumas</v>
          </cell>
          <cell r="B430" t="str">
            <v>2023-Mazatlán</v>
          </cell>
          <cell r="C430">
            <v>2023</v>
          </cell>
          <cell r="D430" t="str">
            <v>Pumas</v>
          </cell>
          <cell r="E430">
            <v>0</v>
          </cell>
          <cell r="F430">
            <v>0</v>
          </cell>
          <cell r="G430" t="str">
            <v>Mazatlán</v>
          </cell>
          <cell r="H430" t="str">
            <v>NULL</v>
          </cell>
          <cell r="I430" t="str">
            <v>NULL</v>
          </cell>
          <cell r="J430" t="str">
            <v>NULL</v>
          </cell>
          <cell r="K430" t="str">
            <v>NULL</v>
          </cell>
          <cell r="L430" t="str">
            <v>NULL</v>
          </cell>
          <cell r="M430">
            <v>0.5</v>
          </cell>
          <cell r="N430">
            <v>0.16666666666666666</v>
          </cell>
          <cell r="O430">
            <v>0.33333333333333331</v>
          </cell>
          <cell r="P430">
            <v>75</v>
          </cell>
          <cell r="Q430">
            <v>35.049999999999997</v>
          </cell>
          <cell r="R430">
            <v>3.5</v>
          </cell>
          <cell r="S430">
            <v>10.51</v>
          </cell>
          <cell r="T430">
            <v>10.51</v>
          </cell>
          <cell r="U430">
            <v>10.51</v>
          </cell>
          <cell r="V430">
            <v>5.8823529411764705E-2</v>
          </cell>
          <cell r="W430">
            <v>0.29411764705882354</v>
          </cell>
          <cell r="X430">
            <v>0.6470588235294118</v>
          </cell>
          <cell r="Y430">
            <v>40</v>
          </cell>
        </row>
        <row r="431">
          <cell r="A431" t="str">
            <v>2023-Xolos</v>
          </cell>
          <cell r="B431" t="str">
            <v>2023-Pumas</v>
          </cell>
          <cell r="C431">
            <v>2023</v>
          </cell>
          <cell r="D431" t="str">
            <v>Xolos</v>
          </cell>
          <cell r="E431">
            <v>2</v>
          </cell>
          <cell r="F431">
            <v>3</v>
          </cell>
          <cell r="G431" t="str">
            <v>Pumas</v>
          </cell>
          <cell r="H431">
            <v>38.299999999999997</v>
          </cell>
          <cell r="I431">
            <v>3.83</v>
          </cell>
          <cell r="J431">
            <v>11.49</v>
          </cell>
          <cell r="K431">
            <v>11.49</v>
          </cell>
          <cell r="L431">
            <v>11.49</v>
          </cell>
          <cell r="M431">
            <v>0.55000000000000004</v>
          </cell>
          <cell r="N431">
            <v>0.15</v>
          </cell>
          <cell r="O431">
            <v>0.3</v>
          </cell>
          <cell r="P431">
            <v>49</v>
          </cell>
          <cell r="Q431" t="str">
            <v>NULL</v>
          </cell>
          <cell r="R431" t="str">
            <v>NULL</v>
          </cell>
          <cell r="S431" t="str">
            <v>NULL</v>
          </cell>
          <cell r="T431" t="str">
            <v>NULL</v>
          </cell>
          <cell r="U431" t="str">
            <v>NULL</v>
          </cell>
          <cell r="V431">
            <v>0.3</v>
          </cell>
          <cell r="W431">
            <v>0.25</v>
          </cell>
          <cell r="X431">
            <v>0.45</v>
          </cell>
          <cell r="Y431">
            <v>75</v>
          </cell>
        </row>
        <row r="432">
          <cell r="A432" t="str">
            <v>2024-Necaxa</v>
          </cell>
          <cell r="B432" t="str">
            <v>2024-Querétaro</v>
          </cell>
          <cell r="C432">
            <v>2024</v>
          </cell>
          <cell r="D432" t="str">
            <v>Necaxa</v>
          </cell>
          <cell r="E432">
            <v>1</v>
          </cell>
          <cell r="F432">
            <v>1</v>
          </cell>
          <cell r="G432" t="str">
            <v>Querétaro</v>
          </cell>
          <cell r="H432">
            <v>38.5</v>
          </cell>
          <cell r="I432">
            <v>3.85</v>
          </cell>
          <cell r="J432">
            <v>11.55</v>
          </cell>
          <cell r="K432">
            <v>11.55</v>
          </cell>
          <cell r="L432">
            <v>11.55</v>
          </cell>
          <cell r="M432">
            <v>0.44444444444444442</v>
          </cell>
          <cell r="N432">
            <v>0.22222222222222221</v>
          </cell>
          <cell r="O432">
            <v>0.33333333333333331</v>
          </cell>
          <cell r="P432">
            <v>77</v>
          </cell>
          <cell r="Q432" t="str">
            <v>NULL</v>
          </cell>
          <cell r="R432" t="str">
            <v>NULL</v>
          </cell>
          <cell r="S432" t="str">
            <v>NULL</v>
          </cell>
          <cell r="T432" t="str">
            <v>NULL</v>
          </cell>
          <cell r="U432" t="str">
            <v>NULL</v>
          </cell>
          <cell r="V432">
            <v>0.17647058823529413</v>
          </cell>
          <cell r="W432">
            <v>0.17647058823529413</v>
          </cell>
          <cell r="X432">
            <v>0.6470588235294118</v>
          </cell>
          <cell r="Y432">
            <v>64</v>
          </cell>
        </row>
        <row r="433">
          <cell r="A433" t="str">
            <v>2024-Querétaro</v>
          </cell>
          <cell r="B433" t="str">
            <v>2024-Pumas</v>
          </cell>
          <cell r="C433">
            <v>2024</v>
          </cell>
          <cell r="D433" t="str">
            <v>Querétaro</v>
          </cell>
          <cell r="E433">
            <v>1</v>
          </cell>
          <cell r="F433">
            <v>1</v>
          </cell>
          <cell r="G433" t="str">
            <v>Pumas</v>
          </cell>
          <cell r="H433">
            <v>17.8</v>
          </cell>
          <cell r="I433">
            <v>1.78</v>
          </cell>
          <cell r="J433">
            <v>5.34</v>
          </cell>
          <cell r="K433">
            <v>5.34</v>
          </cell>
          <cell r="L433">
            <v>5.34</v>
          </cell>
          <cell r="M433">
            <v>0.35294117647058826</v>
          </cell>
          <cell r="N433">
            <v>0.11764705882352941</v>
          </cell>
          <cell r="O433">
            <v>0.52941176470588236</v>
          </cell>
          <cell r="P433">
            <v>64</v>
          </cell>
          <cell r="Q433">
            <v>47.6</v>
          </cell>
          <cell r="R433">
            <v>4.76</v>
          </cell>
          <cell r="S433">
            <v>14.28</v>
          </cell>
          <cell r="T433">
            <v>14.28</v>
          </cell>
          <cell r="U433">
            <v>14.28</v>
          </cell>
          <cell r="V433">
            <v>0.3</v>
          </cell>
          <cell r="W433">
            <v>0.25</v>
          </cell>
          <cell r="X433">
            <v>0.45</v>
          </cell>
          <cell r="Y433">
            <v>75</v>
          </cell>
        </row>
        <row r="434">
          <cell r="A434" t="str">
            <v>2024-Chivas</v>
          </cell>
          <cell r="B434" t="str">
            <v>2024-Querétaro</v>
          </cell>
          <cell r="C434">
            <v>2024</v>
          </cell>
          <cell r="D434" t="str">
            <v>Chivas</v>
          </cell>
          <cell r="E434">
            <v>2</v>
          </cell>
          <cell r="F434">
            <v>0</v>
          </cell>
          <cell r="G434" t="str">
            <v>Querétaro</v>
          </cell>
          <cell r="H434">
            <v>70.2</v>
          </cell>
          <cell r="I434">
            <v>7.02</v>
          </cell>
          <cell r="J434">
            <v>21.06</v>
          </cell>
          <cell r="K434">
            <v>21.06</v>
          </cell>
          <cell r="L434">
            <v>21.06</v>
          </cell>
          <cell r="M434">
            <v>0.44444444444444442</v>
          </cell>
          <cell r="N434">
            <v>0.33333333333333331</v>
          </cell>
          <cell r="O434">
            <v>0.22222222222222221</v>
          </cell>
          <cell r="P434">
            <v>99</v>
          </cell>
          <cell r="Q434" t="str">
            <v>NULL</v>
          </cell>
          <cell r="R434" t="str">
            <v>NULL</v>
          </cell>
          <cell r="S434" t="str">
            <v>NULL</v>
          </cell>
          <cell r="T434" t="str">
            <v>NULL</v>
          </cell>
          <cell r="U434" t="str">
            <v>NULL</v>
          </cell>
          <cell r="V434">
            <v>0.17647058823529413</v>
          </cell>
          <cell r="W434">
            <v>0.17647058823529413</v>
          </cell>
          <cell r="X434">
            <v>0.6470588235294118</v>
          </cell>
          <cell r="Y434">
            <v>64</v>
          </cell>
        </row>
        <row r="435">
          <cell r="A435" t="str">
            <v>2024-León</v>
          </cell>
          <cell r="B435" t="str">
            <v>2024-Querétaro</v>
          </cell>
          <cell r="C435">
            <v>2024</v>
          </cell>
          <cell r="D435" t="str">
            <v>León</v>
          </cell>
          <cell r="E435">
            <v>0</v>
          </cell>
          <cell r="F435">
            <v>2</v>
          </cell>
          <cell r="G435" t="str">
            <v>Querétaro</v>
          </cell>
          <cell r="H435">
            <v>29.55</v>
          </cell>
          <cell r="I435">
            <v>2.96</v>
          </cell>
          <cell r="J435">
            <v>8.8699999999999992</v>
          </cell>
          <cell r="K435">
            <v>8.8699999999999992</v>
          </cell>
          <cell r="L435">
            <v>8.8699999999999992</v>
          </cell>
          <cell r="M435">
            <v>0.3888888888888889</v>
          </cell>
          <cell r="N435">
            <v>0.3888888888888889</v>
          </cell>
          <cell r="O435">
            <v>0.22222222222222221</v>
          </cell>
          <cell r="P435">
            <v>87</v>
          </cell>
          <cell r="Q435" t="str">
            <v>NULL</v>
          </cell>
          <cell r="R435" t="str">
            <v>NULL</v>
          </cell>
          <cell r="S435" t="str">
            <v>NULL</v>
          </cell>
          <cell r="T435" t="str">
            <v>NULL</v>
          </cell>
          <cell r="U435" t="str">
            <v>NULL</v>
          </cell>
          <cell r="V435">
            <v>0.17647058823529413</v>
          </cell>
          <cell r="W435">
            <v>0.17647058823529413</v>
          </cell>
          <cell r="X435">
            <v>0.6470588235294118</v>
          </cell>
          <cell r="Y435">
            <v>64</v>
          </cell>
        </row>
        <row r="436">
          <cell r="A436" t="str">
            <v>2024-Pachuca</v>
          </cell>
          <cell r="B436" t="str">
            <v>2024-Querétaro</v>
          </cell>
          <cell r="C436">
            <v>2024</v>
          </cell>
          <cell r="D436" t="str">
            <v>Pachuca</v>
          </cell>
          <cell r="E436">
            <v>1</v>
          </cell>
          <cell r="F436">
            <v>2</v>
          </cell>
          <cell r="G436" t="str">
            <v>Querétaro</v>
          </cell>
          <cell r="H436">
            <v>56.6</v>
          </cell>
          <cell r="I436">
            <v>5.66</v>
          </cell>
          <cell r="J436">
            <v>16.98</v>
          </cell>
          <cell r="K436">
            <v>16.98</v>
          </cell>
          <cell r="L436">
            <v>16.98</v>
          </cell>
          <cell r="M436">
            <v>0.3888888888888889</v>
          </cell>
          <cell r="N436">
            <v>0.33333333333333331</v>
          </cell>
          <cell r="O436">
            <v>0.27777777777777779</v>
          </cell>
          <cell r="P436">
            <v>98</v>
          </cell>
          <cell r="Q436" t="str">
            <v>NULL</v>
          </cell>
          <cell r="R436" t="str">
            <v>NULL</v>
          </cell>
          <cell r="S436" t="str">
            <v>NULL</v>
          </cell>
          <cell r="T436" t="str">
            <v>NULL</v>
          </cell>
          <cell r="U436" t="str">
            <v>NULL</v>
          </cell>
          <cell r="V436">
            <v>0.17647058823529413</v>
          </cell>
          <cell r="W436">
            <v>0.17647058823529413</v>
          </cell>
          <cell r="X436">
            <v>0.6470588235294118</v>
          </cell>
          <cell r="Y436">
            <v>64</v>
          </cell>
        </row>
        <row r="437">
          <cell r="A437" t="str">
            <v>2024-Querétaro</v>
          </cell>
          <cell r="B437" t="str">
            <v>2024-Santos Laguna</v>
          </cell>
          <cell r="C437">
            <v>2024</v>
          </cell>
          <cell r="D437" t="str">
            <v>Querétaro</v>
          </cell>
          <cell r="E437">
            <v>0</v>
          </cell>
          <cell r="F437">
            <v>1</v>
          </cell>
          <cell r="G437" t="str">
            <v>Santos Laguna</v>
          </cell>
          <cell r="H437">
            <v>17.8</v>
          </cell>
          <cell r="I437">
            <v>1.78</v>
          </cell>
          <cell r="J437">
            <v>5.34</v>
          </cell>
          <cell r="K437">
            <v>5.34</v>
          </cell>
          <cell r="L437">
            <v>5.34</v>
          </cell>
          <cell r="M437">
            <v>0.35294117647058826</v>
          </cell>
          <cell r="N437">
            <v>0.11764705882352941</v>
          </cell>
          <cell r="O437">
            <v>0.52941176470588236</v>
          </cell>
          <cell r="P437">
            <v>64</v>
          </cell>
          <cell r="Q437" t="str">
            <v>NULL</v>
          </cell>
          <cell r="R437" t="str">
            <v>NULL</v>
          </cell>
          <cell r="S437" t="str">
            <v>NULL</v>
          </cell>
          <cell r="T437" t="str">
            <v>NULL</v>
          </cell>
          <cell r="U437" t="str">
            <v>NULL</v>
          </cell>
          <cell r="V437">
            <v>0</v>
          </cell>
          <cell r="W437">
            <v>0.11764705882352941</v>
          </cell>
          <cell r="X437">
            <v>0.88235294117647056</v>
          </cell>
          <cell r="Y437">
            <v>46</v>
          </cell>
        </row>
        <row r="438">
          <cell r="A438" t="str">
            <v>2024-Querétaro</v>
          </cell>
          <cell r="B438" t="str">
            <v>2024-Atlético San Luis</v>
          </cell>
          <cell r="C438">
            <v>2024</v>
          </cell>
          <cell r="D438" t="str">
            <v>Querétaro</v>
          </cell>
          <cell r="E438">
            <v>4</v>
          </cell>
          <cell r="F438">
            <v>1</v>
          </cell>
          <cell r="G438" t="str">
            <v>Atlético San Luis</v>
          </cell>
          <cell r="H438">
            <v>17.8</v>
          </cell>
          <cell r="I438">
            <v>1.78</v>
          </cell>
          <cell r="J438">
            <v>5.34</v>
          </cell>
          <cell r="K438">
            <v>5.34</v>
          </cell>
          <cell r="L438">
            <v>5.34</v>
          </cell>
          <cell r="M438">
            <v>0.35294117647058826</v>
          </cell>
          <cell r="N438">
            <v>0.11764705882352941</v>
          </cell>
          <cell r="O438">
            <v>0.52941176470588236</v>
          </cell>
          <cell r="P438">
            <v>64</v>
          </cell>
          <cell r="Q438">
            <v>45.95</v>
          </cell>
          <cell r="R438">
            <v>4.5999999999999996</v>
          </cell>
          <cell r="S438">
            <v>13.84</v>
          </cell>
          <cell r="T438">
            <v>13.84</v>
          </cell>
          <cell r="U438">
            <v>13.84</v>
          </cell>
          <cell r="V438">
            <v>0.21052631578947367</v>
          </cell>
          <cell r="W438">
            <v>0.15789473684210525</v>
          </cell>
          <cell r="X438">
            <v>0.63157894736842102</v>
          </cell>
          <cell r="Y438">
            <v>59</v>
          </cell>
        </row>
        <row r="439">
          <cell r="A439" t="str">
            <v>2024-Puebla</v>
          </cell>
          <cell r="B439" t="str">
            <v>2024-Querétaro</v>
          </cell>
          <cell r="C439">
            <v>2024</v>
          </cell>
          <cell r="D439" t="str">
            <v>Puebla</v>
          </cell>
          <cell r="E439">
            <v>0</v>
          </cell>
          <cell r="F439">
            <v>2</v>
          </cell>
          <cell r="G439" t="str">
            <v>Querétaro</v>
          </cell>
          <cell r="H439">
            <v>24.1</v>
          </cell>
          <cell r="I439">
            <v>2.41</v>
          </cell>
          <cell r="J439">
            <v>7.23</v>
          </cell>
          <cell r="K439">
            <v>7.23</v>
          </cell>
          <cell r="L439">
            <v>7.23</v>
          </cell>
          <cell r="M439">
            <v>0.23529411764705882</v>
          </cell>
          <cell r="N439">
            <v>0.11764705882352941</v>
          </cell>
          <cell r="O439">
            <v>0.6470588235294118</v>
          </cell>
          <cell r="P439">
            <v>34</v>
          </cell>
          <cell r="Q439" t="str">
            <v>NULL</v>
          </cell>
          <cell r="R439" t="str">
            <v>NULL</v>
          </cell>
          <cell r="S439" t="str">
            <v>NULL</v>
          </cell>
          <cell r="T439" t="str">
            <v>NULL</v>
          </cell>
          <cell r="U439" t="str">
            <v>NULL</v>
          </cell>
          <cell r="V439">
            <v>0.17647058823529413</v>
          </cell>
          <cell r="W439">
            <v>0.17647058823529413</v>
          </cell>
          <cell r="X439">
            <v>0.6470588235294118</v>
          </cell>
          <cell r="Y439">
            <v>64</v>
          </cell>
        </row>
        <row r="440">
          <cell r="A440" t="str">
            <v>2024-Xolos</v>
          </cell>
          <cell r="B440" t="str">
            <v>2024-Querétaro</v>
          </cell>
          <cell r="C440">
            <v>2024</v>
          </cell>
          <cell r="D440" t="str">
            <v>Xolos</v>
          </cell>
          <cell r="E440">
            <v>1</v>
          </cell>
          <cell r="F440">
            <v>1</v>
          </cell>
          <cell r="G440" t="str">
            <v>Querétaro</v>
          </cell>
          <cell r="H440" t="str">
            <v>NULL</v>
          </cell>
          <cell r="I440" t="str">
            <v>NULL</v>
          </cell>
          <cell r="J440" t="str">
            <v>NULL</v>
          </cell>
          <cell r="K440" t="str">
            <v>NULL</v>
          </cell>
          <cell r="L440" t="str">
            <v>NULL</v>
          </cell>
          <cell r="M440">
            <v>0.55000000000000004</v>
          </cell>
          <cell r="N440">
            <v>0.15</v>
          </cell>
          <cell r="O440">
            <v>0.3</v>
          </cell>
          <cell r="P440">
            <v>49</v>
          </cell>
          <cell r="Q440" t="str">
            <v>NULL</v>
          </cell>
          <cell r="R440" t="str">
            <v>NULL</v>
          </cell>
          <cell r="S440" t="str">
            <v>NULL</v>
          </cell>
          <cell r="T440" t="str">
            <v>NULL</v>
          </cell>
          <cell r="U440" t="str">
            <v>NULL</v>
          </cell>
          <cell r="V440">
            <v>0.17647058823529413</v>
          </cell>
          <cell r="W440">
            <v>0.17647058823529413</v>
          </cell>
          <cell r="X440">
            <v>0.6470588235294118</v>
          </cell>
          <cell r="Y440">
            <v>64</v>
          </cell>
        </row>
        <row r="441">
          <cell r="A441" t="str">
            <v>2024-Querétaro</v>
          </cell>
          <cell r="B441" t="str">
            <v>2024-Cruz Azul</v>
          </cell>
          <cell r="C441">
            <v>2024</v>
          </cell>
          <cell r="D441" t="str">
            <v>Querétaro</v>
          </cell>
          <cell r="E441">
            <v>1</v>
          </cell>
          <cell r="F441">
            <v>3</v>
          </cell>
          <cell r="G441" t="str">
            <v>Cruz Azul</v>
          </cell>
          <cell r="H441">
            <v>17.8</v>
          </cell>
          <cell r="I441">
            <v>1.78</v>
          </cell>
          <cell r="J441">
            <v>5.34</v>
          </cell>
          <cell r="K441">
            <v>5.34</v>
          </cell>
          <cell r="L441">
            <v>5.34</v>
          </cell>
          <cell r="M441">
            <v>0.35294117647058826</v>
          </cell>
          <cell r="N441">
            <v>0.11764705882352941</v>
          </cell>
          <cell r="O441">
            <v>0.52941176470588236</v>
          </cell>
          <cell r="P441">
            <v>64</v>
          </cell>
          <cell r="Q441">
            <v>78.849999999999994</v>
          </cell>
          <cell r="R441">
            <v>7.89</v>
          </cell>
          <cell r="S441">
            <v>23.66</v>
          </cell>
          <cell r="T441">
            <v>23.66</v>
          </cell>
          <cell r="U441">
            <v>23.66</v>
          </cell>
          <cell r="V441">
            <v>0.52380952380952384</v>
          </cell>
          <cell r="W441">
            <v>0.23809523809523808</v>
          </cell>
          <cell r="X441">
            <v>0.23809523809523808</v>
          </cell>
          <cell r="Y441">
            <v>107</v>
          </cell>
        </row>
        <row r="442">
          <cell r="A442" t="str">
            <v>2024-Monterrey</v>
          </cell>
          <cell r="B442" t="str">
            <v>2024-Querétaro</v>
          </cell>
          <cell r="C442">
            <v>2024</v>
          </cell>
          <cell r="D442" t="str">
            <v>Monterrey</v>
          </cell>
          <cell r="E442">
            <v>1</v>
          </cell>
          <cell r="F442">
            <v>1</v>
          </cell>
          <cell r="G442" t="str">
            <v>Querétaro</v>
          </cell>
          <cell r="H442">
            <v>88.6</v>
          </cell>
          <cell r="I442">
            <v>8.86</v>
          </cell>
          <cell r="J442">
            <v>26.58</v>
          </cell>
          <cell r="K442">
            <v>26.58</v>
          </cell>
          <cell r="L442">
            <v>26.58</v>
          </cell>
          <cell r="M442">
            <v>0.60869565217391308</v>
          </cell>
          <cell r="N442">
            <v>0.17391304347826086</v>
          </cell>
          <cell r="O442">
            <v>0.21739130434782608</v>
          </cell>
          <cell r="P442">
            <v>118</v>
          </cell>
          <cell r="Q442" t="str">
            <v>NULL</v>
          </cell>
          <cell r="R442" t="str">
            <v>NULL</v>
          </cell>
          <cell r="S442" t="str">
            <v>NULL</v>
          </cell>
          <cell r="T442" t="str">
            <v>NULL</v>
          </cell>
          <cell r="U442" t="str">
            <v>NULL</v>
          </cell>
          <cell r="V442">
            <v>0.17647058823529413</v>
          </cell>
          <cell r="W442">
            <v>0.17647058823529413</v>
          </cell>
          <cell r="X442">
            <v>0.6470588235294118</v>
          </cell>
          <cell r="Y442">
            <v>64</v>
          </cell>
        </row>
        <row r="443">
          <cell r="A443" t="str">
            <v>2024-América</v>
          </cell>
          <cell r="B443" t="str">
            <v>2024-Querétaro</v>
          </cell>
          <cell r="C443">
            <v>2024</v>
          </cell>
          <cell r="D443" t="str">
            <v>América</v>
          </cell>
          <cell r="E443">
            <v>2</v>
          </cell>
          <cell r="F443">
            <v>0</v>
          </cell>
          <cell r="G443" t="str">
            <v>Querétaro</v>
          </cell>
          <cell r="H443">
            <v>92.45</v>
          </cell>
          <cell r="I443">
            <v>9.25</v>
          </cell>
          <cell r="J443">
            <v>27.73</v>
          </cell>
          <cell r="K443">
            <v>27.73</v>
          </cell>
          <cell r="L443">
            <v>27.73</v>
          </cell>
          <cell r="M443">
            <v>0.65217391304347827</v>
          </cell>
          <cell r="N443">
            <v>0.21739130434782608</v>
          </cell>
          <cell r="O443">
            <v>0.13043478260869565</v>
          </cell>
          <cell r="P443">
            <v>133</v>
          </cell>
          <cell r="Q443" t="str">
            <v>NULL</v>
          </cell>
          <cell r="R443" t="str">
            <v>NULL</v>
          </cell>
          <cell r="S443" t="str">
            <v>NULL</v>
          </cell>
          <cell r="T443" t="str">
            <v>NULL</v>
          </cell>
          <cell r="U443" t="str">
            <v>NULL</v>
          </cell>
          <cell r="V443">
            <v>0.17647058823529413</v>
          </cell>
          <cell r="W443">
            <v>0.17647058823529413</v>
          </cell>
          <cell r="X443">
            <v>0.6470588235294118</v>
          </cell>
          <cell r="Y443">
            <v>64</v>
          </cell>
        </row>
        <row r="444">
          <cell r="A444" t="str">
            <v>2024-Querétaro</v>
          </cell>
          <cell r="B444" t="str">
            <v>2024-Toluca</v>
          </cell>
          <cell r="C444">
            <v>2024</v>
          </cell>
          <cell r="D444" t="str">
            <v>Querétaro</v>
          </cell>
          <cell r="E444">
            <v>2</v>
          </cell>
          <cell r="F444">
            <v>2</v>
          </cell>
          <cell r="G444" t="str">
            <v>Toluca</v>
          </cell>
          <cell r="H444">
            <v>17.8</v>
          </cell>
          <cell r="I444">
            <v>1.78</v>
          </cell>
          <cell r="J444">
            <v>5.34</v>
          </cell>
          <cell r="K444">
            <v>5.34</v>
          </cell>
          <cell r="L444">
            <v>5.34</v>
          </cell>
          <cell r="M444">
            <v>0.35294117647058826</v>
          </cell>
          <cell r="N444">
            <v>0.11764705882352941</v>
          </cell>
          <cell r="O444">
            <v>0.52941176470588236</v>
          </cell>
          <cell r="P444">
            <v>64</v>
          </cell>
          <cell r="Q444">
            <v>77.45</v>
          </cell>
          <cell r="R444">
            <v>7.75</v>
          </cell>
          <cell r="S444">
            <v>23.24</v>
          </cell>
          <cell r="T444">
            <v>23.24</v>
          </cell>
          <cell r="U444">
            <v>23.24</v>
          </cell>
          <cell r="V444">
            <v>0.38095238095238093</v>
          </cell>
          <cell r="W444">
            <v>0.33333333333333331</v>
          </cell>
          <cell r="X444">
            <v>0.2857142857142857</v>
          </cell>
          <cell r="Y444">
            <v>118</v>
          </cell>
        </row>
        <row r="445">
          <cell r="A445" t="str">
            <v>2023-Querétaro</v>
          </cell>
          <cell r="B445" t="str">
            <v>2023-Monterrey</v>
          </cell>
          <cell r="C445">
            <v>2023</v>
          </cell>
          <cell r="D445" t="str">
            <v>Querétaro</v>
          </cell>
          <cell r="E445">
            <v>0</v>
          </cell>
          <cell r="F445">
            <v>0</v>
          </cell>
          <cell r="G445" t="str">
            <v>Monterrey</v>
          </cell>
          <cell r="H445">
            <v>21.45</v>
          </cell>
          <cell r="I445">
            <v>2.14</v>
          </cell>
          <cell r="J445">
            <v>6.44</v>
          </cell>
          <cell r="K445">
            <v>6.44</v>
          </cell>
          <cell r="L445">
            <v>6.44</v>
          </cell>
          <cell r="M445">
            <v>0.35294117647058826</v>
          </cell>
          <cell r="N445">
            <v>0.11764705882352941</v>
          </cell>
          <cell r="O445">
            <v>0.52941176470588236</v>
          </cell>
          <cell r="P445">
            <v>64</v>
          </cell>
          <cell r="Q445">
            <v>88.1</v>
          </cell>
          <cell r="R445">
            <v>8.81</v>
          </cell>
          <cell r="S445">
            <v>26.43</v>
          </cell>
          <cell r="T445">
            <v>26.43</v>
          </cell>
          <cell r="U445">
            <v>26.43</v>
          </cell>
          <cell r="V445">
            <v>0.38095238095238093</v>
          </cell>
          <cell r="W445">
            <v>0.23809523809523808</v>
          </cell>
          <cell r="X445">
            <v>0.38095238095238093</v>
          </cell>
          <cell r="Y445">
            <v>118</v>
          </cell>
        </row>
        <row r="446">
          <cell r="A446" t="str">
            <v>2023-Querétaro</v>
          </cell>
          <cell r="B446" t="str">
            <v>2023-Chivas</v>
          </cell>
          <cell r="C446">
            <v>2023</v>
          </cell>
          <cell r="D446" t="str">
            <v>Querétaro</v>
          </cell>
          <cell r="E446">
            <v>1</v>
          </cell>
          <cell r="F446">
            <v>2</v>
          </cell>
          <cell r="G446" t="str">
            <v>Chivas</v>
          </cell>
          <cell r="H446">
            <v>21.45</v>
          </cell>
          <cell r="I446">
            <v>2.14</v>
          </cell>
          <cell r="J446">
            <v>6.44</v>
          </cell>
          <cell r="K446">
            <v>6.44</v>
          </cell>
          <cell r="L446">
            <v>6.44</v>
          </cell>
          <cell r="M446">
            <v>0.35294117647058826</v>
          </cell>
          <cell r="N446">
            <v>0.11764705882352941</v>
          </cell>
          <cell r="O446">
            <v>0.52941176470588236</v>
          </cell>
          <cell r="P446">
            <v>64</v>
          </cell>
          <cell r="Q446" t="str">
            <v>NULL</v>
          </cell>
          <cell r="R446" t="str">
            <v>NULL</v>
          </cell>
          <cell r="S446" t="str">
            <v>NULL</v>
          </cell>
          <cell r="T446" t="str">
            <v>NULL</v>
          </cell>
          <cell r="U446" t="str">
            <v>NULL</v>
          </cell>
          <cell r="V446">
            <v>0.23529411764705882</v>
          </cell>
          <cell r="W446">
            <v>0.23529411764705882</v>
          </cell>
          <cell r="X446">
            <v>0.52941176470588236</v>
          </cell>
          <cell r="Y446">
            <v>99</v>
          </cell>
        </row>
        <row r="447">
          <cell r="A447" t="str">
            <v>2023-Mazatlán</v>
          </cell>
          <cell r="B447" t="str">
            <v>2023-Querétaro</v>
          </cell>
          <cell r="C447">
            <v>2023</v>
          </cell>
          <cell r="D447" t="str">
            <v>Mazatlán</v>
          </cell>
          <cell r="E447">
            <v>3</v>
          </cell>
          <cell r="F447">
            <v>0</v>
          </cell>
          <cell r="G447" t="str">
            <v>Querétaro</v>
          </cell>
          <cell r="H447">
            <v>35.049999999999997</v>
          </cell>
          <cell r="I447">
            <v>3.5</v>
          </cell>
          <cell r="J447">
            <v>10.51</v>
          </cell>
          <cell r="K447">
            <v>10.51</v>
          </cell>
          <cell r="L447">
            <v>10.51</v>
          </cell>
          <cell r="M447">
            <v>0.29411764705882354</v>
          </cell>
          <cell r="N447">
            <v>0.47058823529411764</v>
          </cell>
          <cell r="O447">
            <v>0.23529411764705882</v>
          </cell>
          <cell r="P447">
            <v>40</v>
          </cell>
          <cell r="Q447" t="str">
            <v>NULL</v>
          </cell>
          <cell r="R447" t="str">
            <v>NULL</v>
          </cell>
          <cell r="S447" t="str">
            <v>NULL</v>
          </cell>
          <cell r="T447" t="str">
            <v>NULL</v>
          </cell>
          <cell r="U447" t="str">
            <v>NULL</v>
          </cell>
          <cell r="V447">
            <v>0.17647058823529413</v>
          </cell>
          <cell r="W447">
            <v>0.17647058823529413</v>
          </cell>
          <cell r="X447">
            <v>0.6470588235294118</v>
          </cell>
          <cell r="Y447">
            <v>64</v>
          </cell>
        </row>
        <row r="448">
          <cell r="A448" t="str">
            <v>2023-Toluca</v>
          </cell>
          <cell r="B448" t="str">
            <v>2023-Querétaro</v>
          </cell>
          <cell r="C448">
            <v>2023</v>
          </cell>
          <cell r="D448" t="str">
            <v>Toluca</v>
          </cell>
          <cell r="E448">
            <v>3</v>
          </cell>
          <cell r="F448">
            <v>1</v>
          </cell>
          <cell r="G448" t="str">
            <v>Querétaro</v>
          </cell>
          <cell r="H448">
            <v>66.2</v>
          </cell>
          <cell r="I448">
            <v>6.62</v>
          </cell>
          <cell r="J448">
            <v>19.86</v>
          </cell>
          <cell r="K448">
            <v>19.86</v>
          </cell>
          <cell r="L448">
            <v>19.86</v>
          </cell>
          <cell r="M448">
            <v>0.76190476190476186</v>
          </cell>
          <cell r="N448">
            <v>0.19047619047619047</v>
          </cell>
          <cell r="O448">
            <v>4.7619047619047616E-2</v>
          </cell>
          <cell r="P448">
            <v>118</v>
          </cell>
          <cell r="Q448" t="str">
            <v>NULL</v>
          </cell>
          <cell r="R448" t="str">
            <v>NULL</v>
          </cell>
          <cell r="S448" t="str">
            <v>NULL</v>
          </cell>
          <cell r="T448" t="str">
            <v>NULL</v>
          </cell>
          <cell r="U448" t="str">
            <v>NULL</v>
          </cell>
          <cell r="V448">
            <v>0.17647058823529413</v>
          </cell>
          <cell r="W448">
            <v>0.17647058823529413</v>
          </cell>
          <cell r="X448">
            <v>0.6470588235294118</v>
          </cell>
          <cell r="Y448">
            <v>64</v>
          </cell>
        </row>
        <row r="449">
          <cell r="A449" t="str">
            <v>2023-Pumas</v>
          </cell>
          <cell r="B449" t="str">
            <v>2023-Querétaro</v>
          </cell>
          <cell r="C449">
            <v>2023</v>
          </cell>
          <cell r="D449" t="str">
            <v>Pumas</v>
          </cell>
          <cell r="E449">
            <v>4</v>
          </cell>
          <cell r="F449">
            <v>0</v>
          </cell>
          <cell r="G449" t="str">
            <v>Querétaro</v>
          </cell>
          <cell r="H449" t="str">
            <v>NULL</v>
          </cell>
          <cell r="I449" t="str">
            <v>NULL</v>
          </cell>
          <cell r="J449" t="str">
            <v>NULL</v>
          </cell>
          <cell r="K449" t="str">
            <v>NULL</v>
          </cell>
          <cell r="L449" t="str">
            <v>NULL</v>
          </cell>
          <cell r="M449">
            <v>0.5</v>
          </cell>
          <cell r="N449">
            <v>0.16666666666666666</v>
          </cell>
          <cell r="O449">
            <v>0.33333333333333331</v>
          </cell>
          <cell r="P449">
            <v>75</v>
          </cell>
          <cell r="Q449" t="str">
            <v>NULL</v>
          </cell>
          <cell r="R449" t="str">
            <v>NULL</v>
          </cell>
          <cell r="S449" t="str">
            <v>NULL</v>
          </cell>
          <cell r="T449" t="str">
            <v>NULL</v>
          </cell>
          <cell r="U449" t="str">
            <v>NULL</v>
          </cell>
          <cell r="V449">
            <v>0.17647058823529413</v>
          </cell>
          <cell r="W449">
            <v>0.17647058823529413</v>
          </cell>
          <cell r="X449">
            <v>0.6470588235294118</v>
          </cell>
          <cell r="Y449">
            <v>64</v>
          </cell>
        </row>
        <row r="450">
          <cell r="A450" t="str">
            <v>2023-Querétaro</v>
          </cell>
          <cell r="B450" t="str">
            <v>2023-León</v>
          </cell>
          <cell r="C450">
            <v>2023</v>
          </cell>
          <cell r="D450" t="str">
            <v>Querétaro</v>
          </cell>
          <cell r="E450">
            <v>1</v>
          </cell>
          <cell r="F450">
            <v>1</v>
          </cell>
          <cell r="G450" t="str">
            <v>León</v>
          </cell>
          <cell r="H450">
            <v>21.45</v>
          </cell>
          <cell r="I450">
            <v>2.14</v>
          </cell>
          <cell r="J450">
            <v>6.44</v>
          </cell>
          <cell r="K450">
            <v>6.44</v>
          </cell>
          <cell r="L450">
            <v>6.44</v>
          </cell>
          <cell r="M450">
            <v>0.35294117647058826</v>
          </cell>
          <cell r="N450">
            <v>0.11764705882352941</v>
          </cell>
          <cell r="O450">
            <v>0.52941176470588236</v>
          </cell>
          <cell r="P450">
            <v>64</v>
          </cell>
          <cell r="Q450">
            <v>41.5</v>
          </cell>
          <cell r="R450">
            <v>4.1500000000000004</v>
          </cell>
          <cell r="S450">
            <v>12.45</v>
          </cell>
          <cell r="T450">
            <v>12.45</v>
          </cell>
          <cell r="U450">
            <v>12.45</v>
          </cell>
          <cell r="V450">
            <v>0.27777777777777779</v>
          </cell>
          <cell r="W450">
            <v>0.27777777777777779</v>
          </cell>
          <cell r="X450">
            <v>0.44444444444444442</v>
          </cell>
          <cell r="Y450">
            <v>87</v>
          </cell>
        </row>
        <row r="451">
          <cell r="A451" t="str">
            <v>2023-Cruz Azul</v>
          </cell>
          <cell r="B451" t="str">
            <v>2023-Querétaro</v>
          </cell>
          <cell r="C451">
            <v>2023</v>
          </cell>
          <cell r="D451" t="str">
            <v>Cruz Azul</v>
          </cell>
          <cell r="E451">
            <v>1</v>
          </cell>
          <cell r="F451">
            <v>3</v>
          </cell>
          <cell r="G451" t="str">
            <v>Querétaro</v>
          </cell>
          <cell r="H451">
            <v>72.2</v>
          </cell>
          <cell r="I451">
            <v>7.22</v>
          </cell>
          <cell r="J451">
            <v>21.66</v>
          </cell>
          <cell r="K451">
            <v>21.66</v>
          </cell>
          <cell r="L451">
            <v>21.66</v>
          </cell>
          <cell r="M451">
            <v>0.7142857142857143</v>
          </cell>
          <cell r="N451">
            <v>0.23809523809523808</v>
          </cell>
          <cell r="O451">
            <v>4.7619047619047616E-2</v>
          </cell>
          <cell r="P451">
            <v>107</v>
          </cell>
          <cell r="Q451" t="str">
            <v>NULL</v>
          </cell>
          <cell r="R451" t="str">
            <v>NULL</v>
          </cell>
          <cell r="S451" t="str">
            <v>NULL</v>
          </cell>
          <cell r="T451" t="str">
            <v>NULL</v>
          </cell>
          <cell r="U451" t="str">
            <v>NULL</v>
          </cell>
          <cell r="V451">
            <v>0.17647058823529413</v>
          </cell>
          <cell r="W451">
            <v>0.17647058823529413</v>
          </cell>
          <cell r="X451">
            <v>0.6470588235294118</v>
          </cell>
          <cell r="Y451">
            <v>64</v>
          </cell>
        </row>
        <row r="452">
          <cell r="A452" t="str">
            <v>2023-Querétaro</v>
          </cell>
          <cell r="B452" t="str">
            <v>2023-América</v>
          </cell>
          <cell r="C452">
            <v>2023</v>
          </cell>
          <cell r="D452" t="str">
            <v>Querétaro</v>
          </cell>
          <cell r="E452">
            <v>1</v>
          </cell>
          <cell r="F452">
            <v>2</v>
          </cell>
          <cell r="G452" t="str">
            <v>América</v>
          </cell>
          <cell r="H452">
            <v>21.45</v>
          </cell>
          <cell r="I452">
            <v>2.14</v>
          </cell>
          <cell r="J452">
            <v>6.44</v>
          </cell>
          <cell r="K452">
            <v>6.44</v>
          </cell>
          <cell r="L452">
            <v>6.44</v>
          </cell>
          <cell r="M452">
            <v>0.35294117647058826</v>
          </cell>
          <cell r="N452">
            <v>0.11764705882352941</v>
          </cell>
          <cell r="O452">
            <v>0.52941176470588236</v>
          </cell>
          <cell r="P452">
            <v>64</v>
          </cell>
          <cell r="Q452">
            <v>84.2</v>
          </cell>
          <cell r="R452">
            <v>8.42</v>
          </cell>
          <cell r="S452">
            <v>25.26</v>
          </cell>
          <cell r="T452">
            <v>25.26</v>
          </cell>
          <cell r="U452">
            <v>25.26</v>
          </cell>
          <cell r="V452">
            <v>0.375</v>
          </cell>
          <cell r="W452">
            <v>0.29166666666666669</v>
          </cell>
          <cell r="X452">
            <v>0.33333333333333331</v>
          </cell>
          <cell r="Y452">
            <v>133</v>
          </cell>
        </row>
        <row r="453">
          <cell r="A453" t="str">
            <v>2023-Tigres</v>
          </cell>
          <cell r="B453" t="str">
            <v>2023-Querétaro</v>
          </cell>
          <cell r="C453">
            <v>2023</v>
          </cell>
          <cell r="D453" t="str">
            <v>Tigres</v>
          </cell>
          <cell r="E453">
            <v>5</v>
          </cell>
          <cell r="F453">
            <v>0</v>
          </cell>
          <cell r="G453" t="str">
            <v>Querétaro</v>
          </cell>
          <cell r="H453">
            <v>67.599999999999994</v>
          </cell>
          <cell r="I453">
            <v>6.76</v>
          </cell>
          <cell r="J453">
            <v>20.28</v>
          </cell>
          <cell r="K453">
            <v>20.28</v>
          </cell>
          <cell r="L453">
            <v>20.28</v>
          </cell>
          <cell r="M453">
            <v>0.7</v>
          </cell>
          <cell r="N453">
            <v>0.25</v>
          </cell>
          <cell r="O453">
            <v>0.05</v>
          </cell>
          <cell r="P453">
            <v>107</v>
          </cell>
          <cell r="Q453" t="str">
            <v>NULL</v>
          </cell>
          <cell r="R453" t="str">
            <v>NULL</v>
          </cell>
          <cell r="S453" t="str">
            <v>NULL</v>
          </cell>
          <cell r="T453" t="str">
            <v>NULL</v>
          </cell>
          <cell r="U453" t="str">
            <v>NULL</v>
          </cell>
          <cell r="V453">
            <v>0.17647058823529413</v>
          </cell>
          <cell r="W453">
            <v>0.17647058823529413</v>
          </cell>
          <cell r="X453">
            <v>0.6470588235294118</v>
          </cell>
          <cell r="Y453">
            <v>64</v>
          </cell>
        </row>
        <row r="454">
          <cell r="A454" t="str">
            <v>2023-Necaxa</v>
          </cell>
          <cell r="B454" t="str">
            <v>2023-Querétaro</v>
          </cell>
          <cell r="C454">
            <v>2023</v>
          </cell>
          <cell r="D454" t="str">
            <v>Necaxa</v>
          </cell>
          <cell r="E454">
            <v>0</v>
          </cell>
          <cell r="F454">
            <v>1</v>
          </cell>
          <cell r="G454" t="str">
            <v>Querétaro</v>
          </cell>
          <cell r="H454">
            <v>40</v>
          </cell>
          <cell r="I454">
            <v>4</v>
          </cell>
          <cell r="J454">
            <v>12</v>
          </cell>
          <cell r="K454">
            <v>12</v>
          </cell>
          <cell r="L454">
            <v>12</v>
          </cell>
          <cell r="M454">
            <v>0.44444444444444442</v>
          </cell>
          <cell r="N454">
            <v>0.22222222222222221</v>
          </cell>
          <cell r="O454">
            <v>0.33333333333333331</v>
          </cell>
          <cell r="P454">
            <v>77</v>
          </cell>
          <cell r="Q454" t="str">
            <v>NULL</v>
          </cell>
          <cell r="R454" t="str">
            <v>NULL</v>
          </cell>
          <cell r="S454" t="str">
            <v>NULL</v>
          </cell>
          <cell r="T454" t="str">
            <v>NULL</v>
          </cell>
          <cell r="U454" t="str">
            <v>NULL</v>
          </cell>
          <cell r="V454">
            <v>0.17647058823529413</v>
          </cell>
          <cell r="W454">
            <v>0.17647058823529413</v>
          </cell>
          <cell r="X454">
            <v>0.6470588235294118</v>
          </cell>
          <cell r="Y454">
            <v>64</v>
          </cell>
        </row>
        <row r="455">
          <cell r="A455" t="str">
            <v>2023-Querétaro</v>
          </cell>
          <cell r="B455" t="str">
            <v>2023-Pachuca</v>
          </cell>
          <cell r="C455">
            <v>2023</v>
          </cell>
          <cell r="D455" t="str">
            <v>Querétaro</v>
          </cell>
          <cell r="E455">
            <v>1</v>
          </cell>
          <cell r="F455">
            <v>1</v>
          </cell>
          <cell r="G455" t="str">
            <v>Pachuca</v>
          </cell>
          <cell r="H455">
            <v>21.45</v>
          </cell>
          <cell r="I455">
            <v>2.14</v>
          </cell>
          <cell r="J455">
            <v>6.44</v>
          </cell>
          <cell r="K455">
            <v>6.44</v>
          </cell>
          <cell r="L455">
            <v>6.44</v>
          </cell>
          <cell r="M455">
            <v>0.35294117647058826</v>
          </cell>
          <cell r="N455">
            <v>0.11764705882352941</v>
          </cell>
          <cell r="O455">
            <v>0.52941176470588236</v>
          </cell>
          <cell r="P455">
            <v>64</v>
          </cell>
          <cell r="Q455">
            <v>51.25</v>
          </cell>
          <cell r="R455">
            <v>5.13</v>
          </cell>
          <cell r="S455">
            <v>15.38</v>
          </cell>
          <cell r="T455">
            <v>15.38</v>
          </cell>
          <cell r="U455">
            <v>15.38</v>
          </cell>
          <cell r="V455">
            <v>0.26315789473684209</v>
          </cell>
          <cell r="W455">
            <v>0.15789473684210525</v>
          </cell>
          <cell r="X455">
            <v>0.57894736842105265</v>
          </cell>
          <cell r="Y455">
            <v>98</v>
          </cell>
        </row>
        <row r="456">
          <cell r="A456" t="str">
            <v>2023-Atlético San Luis</v>
          </cell>
          <cell r="B456" t="str">
            <v>2023-Querétaro</v>
          </cell>
          <cell r="C456">
            <v>2023</v>
          </cell>
          <cell r="D456" t="str">
            <v>Atlético San Luis</v>
          </cell>
          <cell r="E456">
            <v>4</v>
          </cell>
          <cell r="F456">
            <v>1</v>
          </cell>
          <cell r="G456" t="str">
            <v>Querétaro</v>
          </cell>
          <cell r="H456">
            <v>35.85</v>
          </cell>
          <cell r="I456">
            <v>3.59</v>
          </cell>
          <cell r="J456">
            <v>10.77</v>
          </cell>
          <cell r="K456">
            <v>10.77</v>
          </cell>
          <cell r="L456">
            <v>10.77</v>
          </cell>
          <cell r="M456">
            <v>0.68421052631578949</v>
          </cell>
          <cell r="N456">
            <v>5.2631578947368418E-2</v>
          </cell>
          <cell r="O456">
            <v>0.26315789473684209</v>
          </cell>
          <cell r="P456">
            <v>59</v>
          </cell>
          <cell r="Q456" t="str">
            <v>NULL</v>
          </cell>
          <cell r="R456" t="str">
            <v>NULL</v>
          </cell>
          <cell r="S456" t="str">
            <v>NULL</v>
          </cell>
          <cell r="T456" t="str">
            <v>NULL</v>
          </cell>
          <cell r="U456" t="str">
            <v>NULL</v>
          </cell>
          <cell r="V456">
            <v>0.17647058823529413</v>
          </cell>
          <cell r="W456">
            <v>0.17647058823529413</v>
          </cell>
          <cell r="X456">
            <v>0.6470588235294118</v>
          </cell>
          <cell r="Y456">
            <v>64</v>
          </cell>
        </row>
        <row r="457">
          <cell r="A457" t="str">
            <v>2023-Santos Laguna</v>
          </cell>
          <cell r="B457" t="str">
            <v>2023-Querétaro</v>
          </cell>
          <cell r="C457">
            <v>2023</v>
          </cell>
          <cell r="D457" t="str">
            <v>Santos Laguna</v>
          </cell>
          <cell r="E457">
            <v>0</v>
          </cell>
          <cell r="F457">
            <v>2</v>
          </cell>
          <cell r="G457" t="str">
            <v>Querétaro</v>
          </cell>
          <cell r="H457">
            <v>46</v>
          </cell>
          <cell r="I457">
            <v>4.5999999999999996</v>
          </cell>
          <cell r="J457">
            <v>13.8</v>
          </cell>
          <cell r="K457">
            <v>13.8</v>
          </cell>
          <cell r="L457">
            <v>13.8</v>
          </cell>
          <cell r="M457">
            <v>0.23529411764705882</v>
          </cell>
          <cell r="N457">
            <v>0.17647058823529413</v>
          </cell>
          <cell r="O457">
            <v>0.58823529411764708</v>
          </cell>
          <cell r="P457">
            <v>46</v>
          </cell>
          <cell r="Q457" t="str">
            <v>NULL</v>
          </cell>
          <cell r="R457" t="str">
            <v>NULL</v>
          </cell>
          <cell r="S457" t="str">
            <v>NULL</v>
          </cell>
          <cell r="T457" t="str">
            <v>NULL</v>
          </cell>
          <cell r="U457" t="str">
            <v>NULL</v>
          </cell>
          <cell r="V457">
            <v>0.17647058823529413</v>
          </cell>
          <cell r="W457">
            <v>0.17647058823529413</v>
          </cell>
          <cell r="X457">
            <v>0.6470588235294118</v>
          </cell>
          <cell r="Y457">
            <v>64</v>
          </cell>
        </row>
        <row r="458">
          <cell r="A458" t="str">
            <v>2024-Santos Laguna</v>
          </cell>
          <cell r="B458" t="str">
            <v>2024-Atlético San Luis</v>
          </cell>
          <cell r="C458">
            <v>2024</v>
          </cell>
          <cell r="D458" t="str">
            <v>Santos Laguna</v>
          </cell>
          <cell r="E458">
            <v>0</v>
          </cell>
          <cell r="F458">
            <v>3</v>
          </cell>
          <cell r="G458" t="str">
            <v>Atlético San Luis</v>
          </cell>
          <cell r="H458">
            <v>35.9</v>
          </cell>
          <cell r="I458">
            <v>3.59</v>
          </cell>
          <cell r="J458">
            <v>10.77</v>
          </cell>
          <cell r="K458">
            <v>10.77</v>
          </cell>
          <cell r="L458">
            <v>10.77</v>
          </cell>
          <cell r="M458">
            <v>0.23529411764705882</v>
          </cell>
          <cell r="N458">
            <v>0.17647058823529413</v>
          </cell>
          <cell r="O458">
            <v>0.58823529411764708</v>
          </cell>
          <cell r="P458">
            <v>46</v>
          </cell>
          <cell r="Q458">
            <v>45.95</v>
          </cell>
          <cell r="R458">
            <v>4.5999999999999996</v>
          </cell>
          <cell r="S458">
            <v>13.84</v>
          </cell>
          <cell r="T458">
            <v>13.84</v>
          </cell>
          <cell r="U458">
            <v>13.84</v>
          </cell>
          <cell r="V458">
            <v>0.21052631578947367</v>
          </cell>
          <cell r="W458">
            <v>0.15789473684210525</v>
          </cell>
          <cell r="X458">
            <v>0.63157894736842102</v>
          </cell>
          <cell r="Y458">
            <v>59</v>
          </cell>
        </row>
        <row r="459">
          <cell r="A459" t="str">
            <v>2024-Santos Laguna</v>
          </cell>
          <cell r="B459" t="str">
            <v>2024-Pachuca</v>
          </cell>
          <cell r="C459">
            <v>2024</v>
          </cell>
          <cell r="D459" t="str">
            <v>Santos Laguna</v>
          </cell>
          <cell r="E459">
            <v>0</v>
          </cell>
          <cell r="F459">
            <v>2</v>
          </cell>
          <cell r="G459" t="str">
            <v>Pachuca</v>
          </cell>
          <cell r="H459">
            <v>35.9</v>
          </cell>
          <cell r="I459">
            <v>3.59</v>
          </cell>
          <cell r="J459">
            <v>10.77</v>
          </cell>
          <cell r="K459">
            <v>10.77</v>
          </cell>
          <cell r="L459">
            <v>10.77</v>
          </cell>
          <cell r="M459">
            <v>0.23529411764705882</v>
          </cell>
          <cell r="N459">
            <v>0.17647058823529413</v>
          </cell>
          <cell r="O459">
            <v>0.58823529411764708</v>
          </cell>
          <cell r="P459">
            <v>46</v>
          </cell>
          <cell r="Q459">
            <v>56.6</v>
          </cell>
          <cell r="R459">
            <v>5.66</v>
          </cell>
          <cell r="S459">
            <v>16.98</v>
          </cell>
          <cell r="T459">
            <v>16.98</v>
          </cell>
          <cell r="U459">
            <v>16.98</v>
          </cell>
          <cell r="V459">
            <v>0.26315789473684209</v>
          </cell>
          <cell r="W459">
            <v>0.15789473684210525</v>
          </cell>
          <cell r="X459">
            <v>0.57894736842105265</v>
          </cell>
          <cell r="Y459">
            <v>98</v>
          </cell>
        </row>
        <row r="460">
          <cell r="A460" t="str">
            <v>2024-Necaxa</v>
          </cell>
          <cell r="B460" t="str">
            <v>2024-Santos Laguna</v>
          </cell>
          <cell r="C460">
            <v>2024</v>
          </cell>
          <cell r="D460" t="str">
            <v>Necaxa</v>
          </cell>
          <cell r="E460">
            <v>2</v>
          </cell>
          <cell r="F460">
            <v>0</v>
          </cell>
          <cell r="G460" t="str">
            <v>Santos Laguna</v>
          </cell>
          <cell r="H460">
            <v>38.5</v>
          </cell>
          <cell r="I460">
            <v>3.85</v>
          </cell>
          <cell r="J460">
            <v>11.55</v>
          </cell>
          <cell r="K460">
            <v>11.55</v>
          </cell>
          <cell r="L460">
            <v>11.55</v>
          </cell>
          <cell r="M460">
            <v>0.44444444444444442</v>
          </cell>
          <cell r="N460">
            <v>0.22222222222222221</v>
          </cell>
          <cell r="O460">
            <v>0.33333333333333331</v>
          </cell>
          <cell r="P460">
            <v>77</v>
          </cell>
          <cell r="Q460" t="str">
            <v>NULL</v>
          </cell>
          <cell r="R460" t="str">
            <v>NULL</v>
          </cell>
          <cell r="S460" t="str">
            <v>NULL</v>
          </cell>
          <cell r="T460" t="str">
            <v>NULL</v>
          </cell>
          <cell r="U460" t="str">
            <v>NULL</v>
          </cell>
          <cell r="V460">
            <v>0</v>
          </cell>
          <cell r="W460">
            <v>0.11764705882352941</v>
          </cell>
          <cell r="X460">
            <v>0.88235294117647056</v>
          </cell>
          <cell r="Y460">
            <v>46</v>
          </cell>
        </row>
        <row r="461">
          <cell r="A461" t="str">
            <v>2024-Santos Laguna</v>
          </cell>
          <cell r="B461" t="str">
            <v>2024-América</v>
          </cell>
          <cell r="C461">
            <v>2024</v>
          </cell>
          <cell r="D461" t="str">
            <v>Santos Laguna</v>
          </cell>
          <cell r="E461">
            <v>1</v>
          </cell>
          <cell r="F461">
            <v>1</v>
          </cell>
          <cell r="G461" t="str">
            <v>América</v>
          </cell>
          <cell r="H461">
            <v>35.9</v>
          </cell>
          <cell r="I461">
            <v>3.59</v>
          </cell>
          <cell r="J461">
            <v>10.77</v>
          </cell>
          <cell r="K461">
            <v>10.77</v>
          </cell>
          <cell r="L461">
            <v>10.77</v>
          </cell>
          <cell r="M461">
            <v>0.23529411764705882</v>
          </cell>
          <cell r="N461">
            <v>0.17647058823529413</v>
          </cell>
          <cell r="O461">
            <v>0.58823529411764708</v>
          </cell>
          <cell r="P461">
            <v>46</v>
          </cell>
          <cell r="Q461">
            <v>92.45</v>
          </cell>
          <cell r="R461">
            <v>9.25</v>
          </cell>
          <cell r="S461">
            <v>27.73</v>
          </cell>
          <cell r="T461">
            <v>27.73</v>
          </cell>
          <cell r="U461">
            <v>27.73</v>
          </cell>
          <cell r="V461">
            <v>0.375</v>
          </cell>
          <cell r="W461">
            <v>0.29166666666666669</v>
          </cell>
          <cell r="X461">
            <v>0.33333333333333331</v>
          </cell>
          <cell r="Y461">
            <v>133</v>
          </cell>
        </row>
        <row r="462">
          <cell r="A462" t="str">
            <v>2024-Juarez</v>
          </cell>
          <cell r="B462" t="str">
            <v>2024-Santos Laguna</v>
          </cell>
          <cell r="C462">
            <v>2024</v>
          </cell>
          <cell r="D462" t="str">
            <v>Juarez</v>
          </cell>
          <cell r="E462">
            <v>2</v>
          </cell>
          <cell r="F462">
            <v>1</v>
          </cell>
          <cell r="G462" t="str">
            <v>Santos Laguna</v>
          </cell>
          <cell r="H462" t="str">
            <v>NULL</v>
          </cell>
          <cell r="I462" t="str">
            <v>NULL</v>
          </cell>
          <cell r="J462" t="str">
            <v>NULL</v>
          </cell>
          <cell r="K462" t="str">
            <v>NULL</v>
          </cell>
          <cell r="L462" t="str">
            <v>NULL</v>
          </cell>
          <cell r="M462">
            <v>0.27777777777777779</v>
          </cell>
          <cell r="N462">
            <v>0.33333333333333331</v>
          </cell>
          <cell r="O462">
            <v>0.3888888888888889</v>
          </cell>
          <cell r="P462">
            <v>55</v>
          </cell>
          <cell r="Q462" t="str">
            <v>NULL</v>
          </cell>
          <cell r="R462" t="str">
            <v>NULL</v>
          </cell>
          <cell r="S462" t="str">
            <v>NULL</v>
          </cell>
          <cell r="T462" t="str">
            <v>NULL</v>
          </cell>
          <cell r="U462" t="str">
            <v>NULL</v>
          </cell>
          <cell r="V462">
            <v>0</v>
          </cell>
          <cell r="W462">
            <v>0.11764705882352941</v>
          </cell>
          <cell r="X462">
            <v>0.88235294117647056</v>
          </cell>
          <cell r="Y462">
            <v>46</v>
          </cell>
        </row>
        <row r="463">
          <cell r="A463" t="str">
            <v>2024-Xolos</v>
          </cell>
          <cell r="B463" t="str">
            <v>2024-Santos Laguna</v>
          </cell>
          <cell r="C463">
            <v>2024</v>
          </cell>
          <cell r="D463" t="str">
            <v>Xolos</v>
          </cell>
          <cell r="E463">
            <v>2</v>
          </cell>
          <cell r="F463">
            <v>2</v>
          </cell>
          <cell r="G463" t="str">
            <v>Santos Laguna</v>
          </cell>
          <cell r="H463" t="str">
            <v>NULL</v>
          </cell>
          <cell r="I463" t="str">
            <v>NULL</v>
          </cell>
          <cell r="J463" t="str">
            <v>NULL</v>
          </cell>
          <cell r="K463" t="str">
            <v>NULL</v>
          </cell>
          <cell r="L463" t="str">
            <v>NULL</v>
          </cell>
          <cell r="M463">
            <v>0.55000000000000004</v>
          </cell>
          <cell r="N463">
            <v>0.15</v>
          </cell>
          <cell r="O463">
            <v>0.3</v>
          </cell>
          <cell r="P463">
            <v>49</v>
          </cell>
          <cell r="Q463" t="str">
            <v>NULL</v>
          </cell>
          <cell r="R463" t="str">
            <v>NULL</v>
          </cell>
          <cell r="S463" t="str">
            <v>NULL</v>
          </cell>
          <cell r="T463" t="str">
            <v>NULL</v>
          </cell>
          <cell r="U463" t="str">
            <v>NULL</v>
          </cell>
          <cell r="V463">
            <v>0</v>
          </cell>
          <cell r="W463">
            <v>0.11764705882352941</v>
          </cell>
          <cell r="X463">
            <v>0.88235294117647056</v>
          </cell>
          <cell r="Y463">
            <v>46</v>
          </cell>
        </row>
        <row r="464">
          <cell r="A464" t="str">
            <v>2024-Querétaro</v>
          </cell>
          <cell r="B464" t="str">
            <v>2024-Santos Laguna</v>
          </cell>
          <cell r="C464">
            <v>2024</v>
          </cell>
          <cell r="D464" t="str">
            <v>Querétaro</v>
          </cell>
          <cell r="E464">
            <v>0</v>
          </cell>
          <cell r="F464">
            <v>1</v>
          </cell>
          <cell r="G464" t="str">
            <v>Santos Laguna</v>
          </cell>
          <cell r="H464">
            <v>17.8</v>
          </cell>
          <cell r="I464">
            <v>1.78</v>
          </cell>
          <cell r="J464">
            <v>5.34</v>
          </cell>
          <cell r="K464">
            <v>5.34</v>
          </cell>
          <cell r="L464">
            <v>5.34</v>
          </cell>
          <cell r="M464">
            <v>0.35294117647058826</v>
          </cell>
          <cell r="N464">
            <v>0.11764705882352941</v>
          </cell>
          <cell r="O464">
            <v>0.52941176470588236</v>
          </cell>
          <cell r="P464">
            <v>64</v>
          </cell>
          <cell r="Q464" t="str">
            <v>NULL</v>
          </cell>
          <cell r="R464" t="str">
            <v>NULL</v>
          </cell>
          <cell r="S464" t="str">
            <v>NULL</v>
          </cell>
          <cell r="T464" t="str">
            <v>NULL</v>
          </cell>
          <cell r="U464" t="str">
            <v>NULL</v>
          </cell>
          <cell r="V464">
            <v>0</v>
          </cell>
          <cell r="W464">
            <v>0.11764705882352941</v>
          </cell>
          <cell r="X464">
            <v>0.88235294117647056</v>
          </cell>
          <cell r="Y464">
            <v>46</v>
          </cell>
        </row>
        <row r="465">
          <cell r="A465" t="str">
            <v>2024-Santos Laguna</v>
          </cell>
          <cell r="B465" t="str">
            <v>2024-Mazatlán</v>
          </cell>
          <cell r="C465">
            <v>2024</v>
          </cell>
          <cell r="D465" t="str">
            <v>Santos Laguna</v>
          </cell>
          <cell r="E465">
            <v>1</v>
          </cell>
          <cell r="F465">
            <v>0</v>
          </cell>
          <cell r="G465" t="str">
            <v>Mazatlán</v>
          </cell>
          <cell r="H465">
            <v>35.9</v>
          </cell>
          <cell r="I465">
            <v>3.59</v>
          </cell>
          <cell r="J465">
            <v>10.77</v>
          </cell>
          <cell r="K465">
            <v>10.77</v>
          </cell>
          <cell r="L465">
            <v>10.77</v>
          </cell>
          <cell r="M465">
            <v>0.23529411764705882</v>
          </cell>
          <cell r="N465">
            <v>0.17647058823529413</v>
          </cell>
          <cell r="O465">
            <v>0.58823529411764708</v>
          </cell>
          <cell r="P465">
            <v>46</v>
          </cell>
          <cell r="Q465">
            <v>31.45</v>
          </cell>
          <cell r="R465">
            <v>3.15</v>
          </cell>
          <cell r="S465">
            <v>9.44</v>
          </cell>
          <cell r="T465">
            <v>9.44</v>
          </cell>
          <cell r="U465">
            <v>9.44</v>
          </cell>
          <cell r="V465">
            <v>5.8823529411764705E-2</v>
          </cell>
          <cell r="W465">
            <v>0.29411764705882354</v>
          </cell>
          <cell r="X465">
            <v>0.6470588235294118</v>
          </cell>
          <cell r="Y465">
            <v>40</v>
          </cell>
        </row>
        <row r="466">
          <cell r="A466" t="str">
            <v>2024-Toluca</v>
          </cell>
          <cell r="B466" t="str">
            <v>2024-Santos Laguna</v>
          </cell>
          <cell r="C466">
            <v>2024</v>
          </cell>
          <cell r="D466" t="str">
            <v>Toluca</v>
          </cell>
          <cell r="E466">
            <v>1</v>
          </cell>
          <cell r="F466">
            <v>0</v>
          </cell>
          <cell r="G466" t="str">
            <v>Santos Laguna</v>
          </cell>
          <cell r="H466">
            <v>77.45</v>
          </cell>
          <cell r="I466">
            <v>7.75</v>
          </cell>
          <cell r="J466">
            <v>23.24</v>
          </cell>
          <cell r="K466">
            <v>23.24</v>
          </cell>
          <cell r="L466">
            <v>23.24</v>
          </cell>
          <cell r="M466">
            <v>0.76190476190476186</v>
          </cell>
          <cell r="N466">
            <v>0.19047619047619047</v>
          </cell>
          <cell r="O466">
            <v>4.7619047619047616E-2</v>
          </cell>
          <cell r="P466">
            <v>118</v>
          </cell>
          <cell r="Q466" t="str">
            <v>NULL</v>
          </cell>
          <cell r="R466" t="str">
            <v>NULL</v>
          </cell>
          <cell r="S466" t="str">
            <v>NULL</v>
          </cell>
          <cell r="T466" t="str">
            <v>NULL</v>
          </cell>
          <cell r="U466" t="str">
            <v>NULL</v>
          </cell>
          <cell r="V466">
            <v>0</v>
          </cell>
          <cell r="W466">
            <v>0.11764705882352941</v>
          </cell>
          <cell r="X466">
            <v>0.88235294117647056</v>
          </cell>
          <cell r="Y466">
            <v>46</v>
          </cell>
        </row>
        <row r="467">
          <cell r="A467" t="str">
            <v>2024-Pumas</v>
          </cell>
          <cell r="B467" t="str">
            <v>2024-Santos Laguna</v>
          </cell>
          <cell r="C467">
            <v>2024</v>
          </cell>
          <cell r="D467" t="str">
            <v>Pumas</v>
          </cell>
          <cell r="E467">
            <v>3</v>
          </cell>
          <cell r="F467">
            <v>0</v>
          </cell>
          <cell r="G467" t="str">
            <v>Santos Laguna</v>
          </cell>
          <cell r="H467">
            <v>47.6</v>
          </cell>
          <cell r="I467">
            <v>4.76</v>
          </cell>
          <cell r="J467">
            <v>14.28</v>
          </cell>
          <cell r="K467">
            <v>14.28</v>
          </cell>
          <cell r="L467">
            <v>14.28</v>
          </cell>
          <cell r="M467">
            <v>0.5</v>
          </cell>
          <cell r="N467">
            <v>0.16666666666666666</v>
          </cell>
          <cell r="O467">
            <v>0.33333333333333331</v>
          </cell>
          <cell r="P467">
            <v>75</v>
          </cell>
          <cell r="Q467" t="str">
            <v>NULL</v>
          </cell>
          <cell r="R467" t="str">
            <v>NULL</v>
          </cell>
          <cell r="S467" t="str">
            <v>NULL</v>
          </cell>
          <cell r="T467" t="str">
            <v>NULL</v>
          </cell>
          <cell r="U467" t="str">
            <v>NULL</v>
          </cell>
          <cell r="V467">
            <v>0</v>
          </cell>
          <cell r="W467">
            <v>0.11764705882352941</v>
          </cell>
          <cell r="X467">
            <v>0.88235294117647056</v>
          </cell>
          <cell r="Y467">
            <v>46</v>
          </cell>
        </row>
        <row r="468">
          <cell r="A468" t="str">
            <v>2024-Santos Laguna</v>
          </cell>
          <cell r="B468" t="str">
            <v>2024-Tigres</v>
          </cell>
          <cell r="C468">
            <v>2024</v>
          </cell>
          <cell r="D468" t="str">
            <v>Santos Laguna</v>
          </cell>
          <cell r="E468">
            <v>0</v>
          </cell>
          <cell r="F468">
            <v>3</v>
          </cell>
          <cell r="G468" t="str">
            <v>Tigres</v>
          </cell>
          <cell r="H468">
            <v>35.9</v>
          </cell>
          <cell r="I468">
            <v>3.59</v>
          </cell>
          <cell r="J468">
            <v>10.77</v>
          </cell>
          <cell r="K468">
            <v>10.77</v>
          </cell>
          <cell r="L468">
            <v>10.77</v>
          </cell>
          <cell r="M468">
            <v>0.23529411764705882</v>
          </cell>
          <cell r="N468">
            <v>0.17647058823529413</v>
          </cell>
          <cell r="O468">
            <v>0.58823529411764708</v>
          </cell>
          <cell r="P468">
            <v>46</v>
          </cell>
          <cell r="Q468" t="str">
            <v>NULL</v>
          </cell>
          <cell r="R468" t="str">
            <v>NULL</v>
          </cell>
          <cell r="S468" t="str">
            <v>NULL</v>
          </cell>
          <cell r="T468" t="str">
            <v>NULL</v>
          </cell>
          <cell r="U468" t="str">
            <v>NULL</v>
          </cell>
          <cell r="V468">
            <v>0.3</v>
          </cell>
          <cell r="W468">
            <v>0.3</v>
          </cell>
          <cell r="X468">
            <v>0.4</v>
          </cell>
          <cell r="Y468">
            <v>107</v>
          </cell>
        </row>
        <row r="469">
          <cell r="A469" t="str">
            <v>2024-Atlas</v>
          </cell>
          <cell r="B469" t="str">
            <v>2024-Santos Laguna</v>
          </cell>
          <cell r="C469">
            <v>2024</v>
          </cell>
          <cell r="D469" t="str">
            <v>Atlas</v>
          </cell>
          <cell r="E469">
            <v>3</v>
          </cell>
          <cell r="F469">
            <v>0</v>
          </cell>
          <cell r="G469" t="str">
            <v>Santos Laguna</v>
          </cell>
          <cell r="H469">
            <v>28.95</v>
          </cell>
          <cell r="I469">
            <v>2.9</v>
          </cell>
          <cell r="J469">
            <v>8.68</v>
          </cell>
          <cell r="K469">
            <v>8.68</v>
          </cell>
          <cell r="L469">
            <v>8.68</v>
          </cell>
          <cell r="M469" t="str">
            <v>NULL</v>
          </cell>
          <cell r="N469" t="str">
            <v>NULL</v>
          </cell>
          <cell r="O469" t="str">
            <v>NULL</v>
          </cell>
          <cell r="P469">
            <v>60</v>
          </cell>
          <cell r="Q469" t="str">
            <v>NULL</v>
          </cell>
          <cell r="R469" t="str">
            <v>NULL</v>
          </cell>
          <cell r="S469" t="str">
            <v>NULL</v>
          </cell>
          <cell r="T469" t="str">
            <v>NULL</v>
          </cell>
          <cell r="U469" t="str">
            <v>NULL</v>
          </cell>
          <cell r="V469">
            <v>0</v>
          </cell>
          <cell r="W469">
            <v>0.11764705882352941</v>
          </cell>
          <cell r="X469">
            <v>0.88235294117647056</v>
          </cell>
          <cell r="Y469">
            <v>46</v>
          </cell>
        </row>
        <row r="470">
          <cell r="A470" t="str">
            <v>2024-Santos Laguna</v>
          </cell>
          <cell r="B470" t="str">
            <v>2024-Puebla</v>
          </cell>
          <cell r="C470">
            <v>2024</v>
          </cell>
          <cell r="D470" t="str">
            <v>Santos Laguna</v>
          </cell>
          <cell r="E470">
            <v>3</v>
          </cell>
          <cell r="F470">
            <v>0</v>
          </cell>
          <cell r="G470" t="str">
            <v>Puebla</v>
          </cell>
          <cell r="H470">
            <v>35.9</v>
          </cell>
          <cell r="I470">
            <v>3.59</v>
          </cell>
          <cell r="J470">
            <v>10.77</v>
          </cell>
          <cell r="K470">
            <v>10.77</v>
          </cell>
          <cell r="L470">
            <v>10.77</v>
          </cell>
          <cell r="M470">
            <v>0.23529411764705882</v>
          </cell>
          <cell r="N470">
            <v>0.17647058823529413</v>
          </cell>
          <cell r="O470">
            <v>0.58823529411764708</v>
          </cell>
          <cell r="P470">
            <v>46</v>
          </cell>
          <cell r="Q470">
            <v>24.1</v>
          </cell>
          <cell r="R470">
            <v>2.41</v>
          </cell>
          <cell r="S470">
            <v>7.23</v>
          </cell>
          <cell r="T470">
            <v>7.23</v>
          </cell>
          <cell r="U470">
            <v>7.23</v>
          </cell>
          <cell r="V470">
            <v>0.11764705882352941</v>
          </cell>
          <cell r="W470">
            <v>0.17647058823529413</v>
          </cell>
          <cell r="X470">
            <v>0.70588235294117652</v>
          </cell>
          <cell r="Y470">
            <v>34</v>
          </cell>
        </row>
        <row r="471">
          <cell r="A471" t="str">
            <v>2024-León</v>
          </cell>
          <cell r="B471" t="str">
            <v>2024-Santos Laguna</v>
          </cell>
          <cell r="C471">
            <v>2024</v>
          </cell>
          <cell r="D471" t="str">
            <v>León</v>
          </cell>
          <cell r="E471">
            <v>3</v>
          </cell>
          <cell r="F471">
            <v>2</v>
          </cell>
          <cell r="G471" t="str">
            <v>Santos Laguna</v>
          </cell>
          <cell r="H471">
            <v>29.55</v>
          </cell>
          <cell r="I471">
            <v>2.96</v>
          </cell>
          <cell r="J471">
            <v>8.8699999999999992</v>
          </cell>
          <cell r="K471">
            <v>8.8699999999999992</v>
          </cell>
          <cell r="L471">
            <v>8.8699999999999992</v>
          </cell>
          <cell r="M471">
            <v>0.3888888888888889</v>
          </cell>
          <cell r="N471">
            <v>0.3888888888888889</v>
          </cell>
          <cell r="O471">
            <v>0.22222222222222221</v>
          </cell>
          <cell r="P471">
            <v>87</v>
          </cell>
          <cell r="Q471" t="str">
            <v>NULL</v>
          </cell>
          <cell r="R471" t="str">
            <v>NULL</v>
          </cell>
          <cell r="S471" t="str">
            <v>NULL</v>
          </cell>
          <cell r="T471" t="str">
            <v>NULL</v>
          </cell>
          <cell r="U471" t="str">
            <v>NULL</v>
          </cell>
          <cell r="V471">
            <v>0</v>
          </cell>
          <cell r="W471">
            <v>0.11764705882352941</v>
          </cell>
          <cell r="X471">
            <v>0.88235294117647056</v>
          </cell>
          <cell r="Y471">
            <v>46</v>
          </cell>
        </row>
        <row r="472">
          <cell r="A472" t="str">
            <v>2024-Santos Laguna</v>
          </cell>
          <cell r="B472" t="str">
            <v>2024-Monterrey</v>
          </cell>
          <cell r="C472">
            <v>2024</v>
          </cell>
          <cell r="D472" t="str">
            <v>Santos Laguna</v>
          </cell>
          <cell r="E472">
            <v>0</v>
          </cell>
          <cell r="F472">
            <v>2</v>
          </cell>
          <cell r="G472" t="str">
            <v>Monterrey</v>
          </cell>
          <cell r="H472">
            <v>35.9</v>
          </cell>
          <cell r="I472">
            <v>3.59</v>
          </cell>
          <cell r="J472">
            <v>10.77</v>
          </cell>
          <cell r="K472">
            <v>10.77</v>
          </cell>
          <cell r="L472">
            <v>10.77</v>
          </cell>
          <cell r="M472">
            <v>0.23529411764705882</v>
          </cell>
          <cell r="N472">
            <v>0.17647058823529413</v>
          </cell>
          <cell r="O472">
            <v>0.58823529411764708</v>
          </cell>
          <cell r="P472">
            <v>46</v>
          </cell>
          <cell r="Q472">
            <v>88.6</v>
          </cell>
          <cell r="R472">
            <v>8.86</v>
          </cell>
          <cell r="S472">
            <v>26.58</v>
          </cell>
          <cell r="T472">
            <v>26.58</v>
          </cell>
          <cell r="U472">
            <v>26.58</v>
          </cell>
          <cell r="V472">
            <v>0.38095238095238093</v>
          </cell>
          <cell r="W472">
            <v>0.23809523809523808</v>
          </cell>
          <cell r="X472">
            <v>0.38095238095238093</v>
          </cell>
          <cell r="Y472">
            <v>118</v>
          </cell>
        </row>
        <row r="473">
          <cell r="A473" t="str">
            <v>2024-Chivas</v>
          </cell>
          <cell r="B473" t="str">
            <v>2024-Santos Laguna</v>
          </cell>
          <cell r="C473">
            <v>2024</v>
          </cell>
          <cell r="D473" t="str">
            <v>Chivas</v>
          </cell>
          <cell r="E473">
            <v>1</v>
          </cell>
          <cell r="F473">
            <v>1</v>
          </cell>
          <cell r="G473" t="str">
            <v>Santos Laguna</v>
          </cell>
          <cell r="H473">
            <v>70.2</v>
          </cell>
          <cell r="I473">
            <v>7.02</v>
          </cell>
          <cell r="J473">
            <v>21.06</v>
          </cell>
          <cell r="K473">
            <v>21.06</v>
          </cell>
          <cell r="L473">
            <v>21.06</v>
          </cell>
          <cell r="M473">
            <v>0.44444444444444442</v>
          </cell>
          <cell r="N473">
            <v>0.33333333333333331</v>
          </cell>
          <cell r="O473">
            <v>0.22222222222222221</v>
          </cell>
          <cell r="P473">
            <v>99</v>
          </cell>
          <cell r="Q473" t="str">
            <v>NULL</v>
          </cell>
          <cell r="R473" t="str">
            <v>NULL</v>
          </cell>
          <cell r="S473" t="str">
            <v>NULL</v>
          </cell>
          <cell r="T473" t="str">
            <v>NULL</v>
          </cell>
          <cell r="U473" t="str">
            <v>NULL</v>
          </cell>
          <cell r="V473">
            <v>0</v>
          </cell>
          <cell r="W473">
            <v>0.11764705882352941</v>
          </cell>
          <cell r="X473">
            <v>0.88235294117647056</v>
          </cell>
          <cell r="Y473">
            <v>46</v>
          </cell>
        </row>
        <row r="474">
          <cell r="A474" t="str">
            <v>2023-Santos Laguna</v>
          </cell>
          <cell r="B474" t="str">
            <v>2023-Mazatlán</v>
          </cell>
          <cell r="C474">
            <v>2023</v>
          </cell>
          <cell r="D474" t="str">
            <v>Santos Laguna</v>
          </cell>
          <cell r="E474">
            <v>2</v>
          </cell>
          <cell r="F474">
            <v>1</v>
          </cell>
          <cell r="G474" t="str">
            <v>Mazatlán</v>
          </cell>
          <cell r="H474">
            <v>46</v>
          </cell>
          <cell r="I474">
            <v>4.5999999999999996</v>
          </cell>
          <cell r="J474">
            <v>13.8</v>
          </cell>
          <cell r="K474">
            <v>13.8</v>
          </cell>
          <cell r="L474">
            <v>13.8</v>
          </cell>
          <cell r="M474">
            <v>0.23529411764705882</v>
          </cell>
          <cell r="N474">
            <v>0.17647058823529413</v>
          </cell>
          <cell r="O474">
            <v>0.58823529411764708</v>
          </cell>
          <cell r="P474">
            <v>46</v>
          </cell>
          <cell r="Q474">
            <v>35.049999999999997</v>
          </cell>
          <cell r="R474">
            <v>3.5</v>
          </cell>
          <cell r="S474">
            <v>10.51</v>
          </cell>
          <cell r="T474">
            <v>10.51</v>
          </cell>
          <cell r="U474">
            <v>10.51</v>
          </cell>
          <cell r="V474">
            <v>5.8823529411764705E-2</v>
          </cell>
          <cell r="W474">
            <v>0.29411764705882354</v>
          </cell>
          <cell r="X474">
            <v>0.6470588235294118</v>
          </cell>
          <cell r="Y474">
            <v>40</v>
          </cell>
        </row>
        <row r="475">
          <cell r="A475" t="str">
            <v>2023-Atlético San Luis</v>
          </cell>
          <cell r="B475" t="str">
            <v>2023-Santos Laguna</v>
          </cell>
          <cell r="C475">
            <v>2023</v>
          </cell>
          <cell r="D475" t="str">
            <v>Atlético San Luis</v>
          </cell>
          <cell r="E475">
            <v>0</v>
          </cell>
          <cell r="F475">
            <v>2</v>
          </cell>
          <cell r="G475" t="str">
            <v>Santos Laguna</v>
          </cell>
          <cell r="H475">
            <v>35.85</v>
          </cell>
          <cell r="I475">
            <v>3.59</v>
          </cell>
          <cell r="J475">
            <v>10.77</v>
          </cell>
          <cell r="K475">
            <v>10.77</v>
          </cell>
          <cell r="L475">
            <v>10.77</v>
          </cell>
          <cell r="M475">
            <v>0.68421052631578949</v>
          </cell>
          <cell r="N475">
            <v>5.2631578947368418E-2</v>
          </cell>
          <cell r="O475">
            <v>0.26315789473684209</v>
          </cell>
          <cell r="P475">
            <v>59</v>
          </cell>
          <cell r="Q475" t="str">
            <v>NULL</v>
          </cell>
          <cell r="R475" t="str">
            <v>NULL</v>
          </cell>
          <cell r="S475" t="str">
            <v>NULL</v>
          </cell>
          <cell r="T475" t="str">
            <v>NULL</v>
          </cell>
          <cell r="U475" t="str">
            <v>NULL</v>
          </cell>
          <cell r="V475">
            <v>0</v>
          </cell>
          <cell r="W475">
            <v>0.11764705882352941</v>
          </cell>
          <cell r="X475">
            <v>0.88235294117647056</v>
          </cell>
          <cell r="Y475">
            <v>46</v>
          </cell>
        </row>
        <row r="476">
          <cell r="A476" t="str">
            <v>2023-Monterrey</v>
          </cell>
          <cell r="B476" t="str">
            <v>2023-Santos Laguna</v>
          </cell>
          <cell r="C476">
            <v>2023</v>
          </cell>
          <cell r="D476" t="str">
            <v>Monterrey</v>
          </cell>
          <cell r="E476">
            <v>3</v>
          </cell>
          <cell r="F476">
            <v>0</v>
          </cell>
          <cell r="G476" t="str">
            <v>Santos Laguna</v>
          </cell>
          <cell r="H476">
            <v>88.1</v>
          </cell>
          <cell r="I476">
            <v>8.81</v>
          </cell>
          <cell r="J476">
            <v>26.43</v>
          </cell>
          <cell r="K476">
            <v>26.43</v>
          </cell>
          <cell r="L476">
            <v>26.43</v>
          </cell>
          <cell r="M476">
            <v>0.60869565217391308</v>
          </cell>
          <cell r="N476">
            <v>0.17391304347826086</v>
          </cell>
          <cell r="O476">
            <v>0.21739130434782608</v>
          </cell>
          <cell r="P476">
            <v>118</v>
          </cell>
          <cell r="Q476" t="str">
            <v>NULL</v>
          </cell>
          <cell r="R476" t="str">
            <v>NULL</v>
          </cell>
          <cell r="S476" t="str">
            <v>NULL</v>
          </cell>
          <cell r="T476" t="str">
            <v>NULL</v>
          </cell>
          <cell r="U476" t="str">
            <v>NULL</v>
          </cell>
          <cell r="V476">
            <v>0</v>
          </cell>
          <cell r="W476">
            <v>0.11764705882352941</v>
          </cell>
          <cell r="X476">
            <v>0.88235294117647056</v>
          </cell>
          <cell r="Y476">
            <v>46</v>
          </cell>
        </row>
        <row r="477">
          <cell r="A477" t="str">
            <v>2023-Santos Laguna</v>
          </cell>
          <cell r="B477" t="str">
            <v>2023-Toluca</v>
          </cell>
          <cell r="C477">
            <v>2023</v>
          </cell>
          <cell r="D477" t="str">
            <v>Santos Laguna</v>
          </cell>
          <cell r="E477">
            <v>3</v>
          </cell>
          <cell r="F477">
            <v>1</v>
          </cell>
          <cell r="G477" t="str">
            <v>Toluca</v>
          </cell>
          <cell r="H477">
            <v>46</v>
          </cell>
          <cell r="I477">
            <v>4.5999999999999996</v>
          </cell>
          <cell r="J477">
            <v>13.8</v>
          </cell>
          <cell r="K477">
            <v>13.8</v>
          </cell>
          <cell r="L477">
            <v>13.8</v>
          </cell>
          <cell r="M477">
            <v>0.23529411764705882</v>
          </cell>
          <cell r="N477">
            <v>0.17647058823529413</v>
          </cell>
          <cell r="O477">
            <v>0.58823529411764708</v>
          </cell>
          <cell r="P477">
            <v>46</v>
          </cell>
          <cell r="Q477">
            <v>66.2</v>
          </cell>
          <cell r="R477">
            <v>6.62</v>
          </cell>
          <cell r="S477">
            <v>19.86</v>
          </cell>
          <cell r="T477">
            <v>19.86</v>
          </cell>
          <cell r="U477">
            <v>19.86</v>
          </cell>
          <cell r="V477">
            <v>0.38095238095238093</v>
          </cell>
          <cell r="W477">
            <v>0.33333333333333331</v>
          </cell>
          <cell r="X477">
            <v>0.2857142857142857</v>
          </cell>
          <cell r="Y477">
            <v>118</v>
          </cell>
        </row>
        <row r="478">
          <cell r="A478" t="str">
            <v>2023-Mazatlán</v>
          </cell>
          <cell r="B478" t="str">
            <v>2023-Santos Laguna</v>
          </cell>
          <cell r="C478">
            <v>2023</v>
          </cell>
          <cell r="D478" t="str">
            <v>Mazatlán</v>
          </cell>
          <cell r="E478">
            <v>3</v>
          </cell>
          <cell r="F478">
            <v>1</v>
          </cell>
          <cell r="G478" t="str">
            <v>Santos Laguna</v>
          </cell>
          <cell r="H478">
            <v>35.049999999999997</v>
          </cell>
          <cell r="I478">
            <v>3.5</v>
          </cell>
          <cell r="J478">
            <v>10.51</v>
          </cell>
          <cell r="K478">
            <v>10.51</v>
          </cell>
          <cell r="L478">
            <v>10.51</v>
          </cell>
          <cell r="M478">
            <v>0.29411764705882354</v>
          </cell>
          <cell r="N478">
            <v>0.47058823529411764</v>
          </cell>
          <cell r="O478">
            <v>0.23529411764705882</v>
          </cell>
          <cell r="P478">
            <v>40</v>
          </cell>
          <cell r="Q478" t="str">
            <v>NULL</v>
          </cell>
          <cell r="R478" t="str">
            <v>NULL</v>
          </cell>
          <cell r="S478" t="str">
            <v>NULL</v>
          </cell>
          <cell r="T478" t="str">
            <v>NULL</v>
          </cell>
          <cell r="U478" t="str">
            <v>NULL</v>
          </cell>
          <cell r="V478">
            <v>0</v>
          </cell>
          <cell r="W478">
            <v>0.11764705882352941</v>
          </cell>
          <cell r="X478">
            <v>0.88235294117647056</v>
          </cell>
          <cell r="Y478">
            <v>46</v>
          </cell>
        </row>
        <row r="479">
          <cell r="A479" t="str">
            <v>2023-Santos Laguna</v>
          </cell>
          <cell r="B479" t="str">
            <v>2023-Juarez</v>
          </cell>
          <cell r="C479">
            <v>2023</v>
          </cell>
          <cell r="D479" t="str">
            <v>Santos Laguna</v>
          </cell>
          <cell r="E479">
            <v>5</v>
          </cell>
          <cell r="F479">
            <v>1</v>
          </cell>
          <cell r="G479" t="str">
            <v>Juarez</v>
          </cell>
          <cell r="H479">
            <v>46</v>
          </cell>
          <cell r="I479">
            <v>4.5999999999999996</v>
          </cell>
          <cell r="J479">
            <v>13.8</v>
          </cell>
          <cell r="K479">
            <v>13.8</v>
          </cell>
          <cell r="L479">
            <v>13.8</v>
          </cell>
          <cell r="M479">
            <v>0.23529411764705882</v>
          </cell>
          <cell r="N479">
            <v>0.17647058823529413</v>
          </cell>
          <cell r="O479">
            <v>0.58823529411764708</v>
          </cell>
          <cell r="P479">
            <v>46</v>
          </cell>
          <cell r="Q479" t="str">
            <v>NULL</v>
          </cell>
          <cell r="R479" t="str">
            <v>NULL</v>
          </cell>
          <cell r="S479" t="str">
            <v>NULL</v>
          </cell>
          <cell r="T479" t="str">
            <v>NULL</v>
          </cell>
          <cell r="U479" t="str">
            <v>NULL</v>
          </cell>
          <cell r="V479">
            <v>0.35294117647058826</v>
          </cell>
          <cell r="W479">
            <v>0.17647058823529413</v>
          </cell>
          <cell r="X479">
            <v>0.47058823529411764</v>
          </cell>
          <cell r="Y479">
            <v>55</v>
          </cell>
        </row>
        <row r="480">
          <cell r="A480" t="str">
            <v>2023-América</v>
          </cell>
          <cell r="B480" t="str">
            <v>2023-Santos Laguna</v>
          </cell>
          <cell r="C480">
            <v>2023</v>
          </cell>
          <cell r="D480" t="str">
            <v>América</v>
          </cell>
          <cell r="E480">
            <v>4</v>
          </cell>
          <cell r="F480">
            <v>3</v>
          </cell>
          <cell r="G480" t="str">
            <v>Santos Laguna</v>
          </cell>
          <cell r="H480">
            <v>84.2</v>
          </cell>
          <cell r="I480">
            <v>8.42</v>
          </cell>
          <cell r="J480">
            <v>25.26</v>
          </cell>
          <cell r="K480">
            <v>25.26</v>
          </cell>
          <cell r="L480">
            <v>25.26</v>
          </cell>
          <cell r="M480">
            <v>0.65217391304347827</v>
          </cell>
          <cell r="N480">
            <v>0.21739130434782608</v>
          </cell>
          <cell r="O480">
            <v>0.13043478260869565</v>
          </cell>
          <cell r="P480">
            <v>133</v>
          </cell>
          <cell r="Q480" t="str">
            <v>NULL</v>
          </cell>
          <cell r="R480" t="str">
            <v>NULL</v>
          </cell>
          <cell r="S480" t="str">
            <v>NULL</v>
          </cell>
          <cell r="T480" t="str">
            <v>NULL</v>
          </cell>
          <cell r="U480" t="str">
            <v>NULL</v>
          </cell>
          <cell r="V480">
            <v>0</v>
          </cell>
          <cell r="W480">
            <v>0.11764705882352941</v>
          </cell>
          <cell r="X480">
            <v>0.88235294117647056</v>
          </cell>
          <cell r="Y480">
            <v>46</v>
          </cell>
        </row>
        <row r="481">
          <cell r="A481" t="str">
            <v>2023-Santos Laguna</v>
          </cell>
          <cell r="B481" t="str">
            <v>2023-Xolos</v>
          </cell>
          <cell r="C481">
            <v>2023</v>
          </cell>
          <cell r="D481" t="str">
            <v>Santos Laguna</v>
          </cell>
          <cell r="E481">
            <v>2</v>
          </cell>
          <cell r="F481">
            <v>1</v>
          </cell>
          <cell r="G481" t="str">
            <v>Xolos</v>
          </cell>
          <cell r="H481">
            <v>46</v>
          </cell>
          <cell r="I481">
            <v>4.5999999999999996</v>
          </cell>
          <cell r="J481">
            <v>13.8</v>
          </cell>
          <cell r="K481">
            <v>13.8</v>
          </cell>
          <cell r="L481">
            <v>13.8</v>
          </cell>
          <cell r="M481">
            <v>0.23529411764705882</v>
          </cell>
          <cell r="N481">
            <v>0.17647058823529413</v>
          </cell>
          <cell r="O481">
            <v>0.58823529411764708</v>
          </cell>
          <cell r="P481">
            <v>46</v>
          </cell>
          <cell r="Q481" t="str">
            <v>NULL</v>
          </cell>
          <cell r="R481" t="str">
            <v>NULL</v>
          </cell>
          <cell r="S481" t="str">
            <v>NULL</v>
          </cell>
          <cell r="T481" t="str">
            <v>NULL</v>
          </cell>
          <cell r="U481" t="str">
            <v>NULL</v>
          </cell>
          <cell r="V481">
            <v>0.27777777777777779</v>
          </cell>
          <cell r="W481">
            <v>0.22222222222222221</v>
          </cell>
          <cell r="X481">
            <v>0.5</v>
          </cell>
          <cell r="Y481">
            <v>49</v>
          </cell>
        </row>
        <row r="482">
          <cell r="A482" t="str">
            <v>2023-Santos Laguna</v>
          </cell>
          <cell r="B482" t="str">
            <v>2023-Necaxa</v>
          </cell>
          <cell r="C482">
            <v>2023</v>
          </cell>
          <cell r="D482" t="str">
            <v>Santos Laguna</v>
          </cell>
          <cell r="E482">
            <v>2</v>
          </cell>
          <cell r="F482">
            <v>5</v>
          </cell>
          <cell r="G482" t="str">
            <v>Necaxa</v>
          </cell>
          <cell r="H482">
            <v>46</v>
          </cell>
          <cell r="I482">
            <v>4.5999999999999996</v>
          </cell>
          <cell r="J482">
            <v>13.8</v>
          </cell>
          <cell r="K482">
            <v>13.8</v>
          </cell>
          <cell r="L482">
            <v>13.8</v>
          </cell>
          <cell r="M482">
            <v>0.23529411764705882</v>
          </cell>
          <cell r="N482">
            <v>0.17647058823529413</v>
          </cell>
          <cell r="O482">
            <v>0.58823529411764708</v>
          </cell>
          <cell r="P482">
            <v>46</v>
          </cell>
          <cell r="Q482">
            <v>40</v>
          </cell>
          <cell r="R482">
            <v>4</v>
          </cell>
          <cell r="S482">
            <v>12</v>
          </cell>
          <cell r="T482">
            <v>12</v>
          </cell>
          <cell r="U482">
            <v>12</v>
          </cell>
          <cell r="V482">
            <v>0.27777777777777779</v>
          </cell>
          <cell r="W482">
            <v>0.27777777777777779</v>
          </cell>
          <cell r="X482">
            <v>0.44444444444444442</v>
          </cell>
          <cell r="Y482">
            <v>77</v>
          </cell>
        </row>
        <row r="483">
          <cell r="A483" t="str">
            <v>2023-Pachuca</v>
          </cell>
          <cell r="B483" t="str">
            <v>2023-Santos Laguna</v>
          </cell>
          <cell r="C483">
            <v>2023</v>
          </cell>
          <cell r="D483" t="str">
            <v>Pachuca</v>
          </cell>
          <cell r="E483">
            <v>3</v>
          </cell>
          <cell r="F483">
            <v>2</v>
          </cell>
          <cell r="G483" t="str">
            <v>Santos Laguna</v>
          </cell>
          <cell r="H483">
            <v>51.25</v>
          </cell>
          <cell r="I483">
            <v>5.13</v>
          </cell>
          <cell r="J483">
            <v>15.38</v>
          </cell>
          <cell r="K483">
            <v>15.38</v>
          </cell>
          <cell r="L483">
            <v>15.38</v>
          </cell>
          <cell r="M483">
            <v>0.3888888888888889</v>
          </cell>
          <cell r="N483">
            <v>0.33333333333333331</v>
          </cell>
          <cell r="O483">
            <v>0.27777777777777779</v>
          </cell>
          <cell r="P483">
            <v>98</v>
          </cell>
          <cell r="Q483" t="str">
            <v>NULL</v>
          </cell>
          <cell r="R483" t="str">
            <v>NULL</v>
          </cell>
          <cell r="S483" t="str">
            <v>NULL</v>
          </cell>
          <cell r="T483" t="str">
            <v>NULL</v>
          </cell>
          <cell r="U483" t="str">
            <v>NULL</v>
          </cell>
          <cell r="V483">
            <v>0</v>
          </cell>
          <cell r="W483">
            <v>0.11764705882352941</v>
          </cell>
          <cell r="X483">
            <v>0.88235294117647056</v>
          </cell>
          <cell r="Y483">
            <v>46</v>
          </cell>
        </row>
        <row r="484">
          <cell r="A484" t="str">
            <v>2023-Santos Laguna</v>
          </cell>
          <cell r="B484" t="str">
            <v>2023-Pumas</v>
          </cell>
          <cell r="C484">
            <v>2023</v>
          </cell>
          <cell r="D484" t="str">
            <v>Santos Laguna</v>
          </cell>
          <cell r="E484">
            <v>2</v>
          </cell>
          <cell r="F484">
            <v>1</v>
          </cell>
          <cell r="G484" t="str">
            <v>Pumas</v>
          </cell>
          <cell r="H484">
            <v>46</v>
          </cell>
          <cell r="I484">
            <v>4.5999999999999996</v>
          </cell>
          <cell r="J484">
            <v>13.8</v>
          </cell>
          <cell r="K484">
            <v>13.8</v>
          </cell>
          <cell r="L484">
            <v>13.8</v>
          </cell>
          <cell r="M484">
            <v>0.23529411764705882</v>
          </cell>
          <cell r="N484">
            <v>0.17647058823529413</v>
          </cell>
          <cell r="O484">
            <v>0.58823529411764708</v>
          </cell>
          <cell r="P484">
            <v>46</v>
          </cell>
          <cell r="Q484" t="str">
            <v>NULL</v>
          </cell>
          <cell r="R484" t="str">
            <v>NULL</v>
          </cell>
          <cell r="S484" t="str">
            <v>NULL</v>
          </cell>
          <cell r="T484" t="str">
            <v>NULL</v>
          </cell>
          <cell r="U484" t="str">
            <v>NULL</v>
          </cell>
          <cell r="V484">
            <v>0.3</v>
          </cell>
          <cell r="W484">
            <v>0.25</v>
          </cell>
          <cell r="X484">
            <v>0.45</v>
          </cell>
          <cell r="Y484">
            <v>75</v>
          </cell>
        </row>
        <row r="485">
          <cell r="A485" t="str">
            <v>2023-Tigres</v>
          </cell>
          <cell r="B485" t="str">
            <v>2023-Santos Laguna</v>
          </cell>
          <cell r="C485">
            <v>2023</v>
          </cell>
          <cell r="D485" t="str">
            <v>Tigres</v>
          </cell>
          <cell r="E485">
            <v>3</v>
          </cell>
          <cell r="F485">
            <v>2</v>
          </cell>
          <cell r="G485" t="str">
            <v>Santos Laguna</v>
          </cell>
          <cell r="H485">
            <v>67.599999999999994</v>
          </cell>
          <cell r="I485">
            <v>6.76</v>
          </cell>
          <cell r="J485">
            <v>20.28</v>
          </cell>
          <cell r="K485">
            <v>20.28</v>
          </cell>
          <cell r="L485">
            <v>20.28</v>
          </cell>
          <cell r="M485">
            <v>0.7</v>
          </cell>
          <cell r="N485">
            <v>0.25</v>
          </cell>
          <cell r="O485">
            <v>0.05</v>
          </cell>
          <cell r="P485">
            <v>107</v>
          </cell>
          <cell r="Q485" t="str">
            <v>NULL</v>
          </cell>
          <cell r="R485" t="str">
            <v>NULL</v>
          </cell>
          <cell r="S485" t="str">
            <v>NULL</v>
          </cell>
          <cell r="T485" t="str">
            <v>NULL</v>
          </cell>
          <cell r="U485" t="str">
            <v>NULL</v>
          </cell>
          <cell r="V485">
            <v>0</v>
          </cell>
          <cell r="W485">
            <v>0.11764705882352941</v>
          </cell>
          <cell r="X485">
            <v>0.88235294117647056</v>
          </cell>
          <cell r="Y485">
            <v>46</v>
          </cell>
        </row>
        <row r="486">
          <cell r="A486" t="str">
            <v>2023-Santos Laguna</v>
          </cell>
          <cell r="B486" t="str">
            <v>2023-Chivas</v>
          </cell>
          <cell r="C486">
            <v>2023</v>
          </cell>
          <cell r="D486" t="str">
            <v>Santos Laguna</v>
          </cell>
          <cell r="E486">
            <v>2</v>
          </cell>
          <cell r="F486">
            <v>1</v>
          </cell>
          <cell r="G486" t="str">
            <v>Chivas</v>
          </cell>
          <cell r="H486">
            <v>46</v>
          </cell>
          <cell r="I486">
            <v>4.5999999999999996</v>
          </cell>
          <cell r="J486">
            <v>13.8</v>
          </cell>
          <cell r="K486">
            <v>13.8</v>
          </cell>
          <cell r="L486">
            <v>13.8</v>
          </cell>
          <cell r="M486">
            <v>0.23529411764705882</v>
          </cell>
          <cell r="N486">
            <v>0.17647058823529413</v>
          </cell>
          <cell r="O486">
            <v>0.58823529411764708</v>
          </cell>
          <cell r="P486">
            <v>46</v>
          </cell>
          <cell r="Q486" t="str">
            <v>NULL</v>
          </cell>
          <cell r="R486" t="str">
            <v>NULL</v>
          </cell>
          <cell r="S486" t="str">
            <v>NULL</v>
          </cell>
          <cell r="T486" t="str">
            <v>NULL</v>
          </cell>
          <cell r="U486" t="str">
            <v>NULL</v>
          </cell>
          <cell r="V486">
            <v>0.23529411764705882</v>
          </cell>
          <cell r="W486">
            <v>0.23529411764705882</v>
          </cell>
          <cell r="X486">
            <v>0.52941176470588236</v>
          </cell>
          <cell r="Y486">
            <v>99</v>
          </cell>
        </row>
        <row r="487">
          <cell r="A487" t="str">
            <v>2023-Cruz Azul</v>
          </cell>
          <cell r="B487" t="str">
            <v>2023-Santos Laguna</v>
          </cell>
          <cell r="C487">
            <v>2023</v>
          </cell>
          <cell r="D487" t="str">
            <v>Cruz Azul</v>
          </cell>
          <cell r="E487">
            <v>2</v>
          </cell>
          <cell r="F487">
            <v>2</v>
          </cell>
          <cell r="G487" t="str">
            <v>Santos Laguna</v>
          </cell>
          <cell r="H487">
            <v>72.2</v>
          </cell>
          <cell r="I487">
            <v>7.22</v>
          </cell>
          <cell r="J487">
            <v>21.66</v>
          </cell>
          <cell r="K487">
            <v>21.66</v>
          </cell>
          <cell r="L487">
            <v>21.66</v>
          </cell>
          <cell r="M487">
            <v>0.7142857142857143</v>
          </cell>
          <cell r="N487">
            <v>0.23809523809523808</v>
          </cell>
          <cell r="O487">
            <v>4.7619047619047616E-2</v>
          </cell>
          <cell r="P487">
            <v>107</v>
          </cell>
          <cell r="Q487" t="str">
            <v>NULL</v>
          </cell>
          <cell r="R487" t="str">
            <v>NULL</v>
          </cell>
          <cell r="S487" t="str">
            <v>NULL</v>
          </cell>
          <cell r="T487" t="str">
            <v>NULL</v>
          </cell>
          <cell r="U487" t="str">
            <v>NULL</v>
          </cell>
          <cell r="V487">
            <v>0</v>
          </cell>
          <cell r="W487">
            <v>0.11764705882352941</v>
          </cell>
          <cell r="X487">
            <v>0.88235294117647056</v>
          </cell>
          <cell r="Y487">
            <v>46</v>
          </cell>
        </row>
        <row r="488">
          <cell r="A488" t="str">
            <v>2023-Santos Laguna</v>
          </cell>
          <cell r="B488" t="str">
            <v>2023-Atlas</v>
          </cell>
          <cell r="C488">
            <v>2023</v>
          </cell>
          <cell r="D488" t="str">
            <v>Santos Laguna</v>
          </cell>
          <cell r="E488">
            <v>0</v>
          </cell>
          <cell r="F488">
            <v>0</v>
          </cell>
          <cell r="G488" t="str">
            <v>Atlas</v>
          </cell>
          <cell r="H488">
            <v>46</v>
          </cell>
          <cell r="I488">
            <v>4.5999999999999996</v>
          </cell>
          <cell r="J488">
            <v>13.8</v>
          </cell>
          <cell r="K488">
            <v>13.8</v>
          </cell>
          <cell r="L488">
            <v>13.8</v>
          </cell>
          <cell r="M488">
            <v>0.23529411764705882</v>
          </cell>
          <cell r="N488">
            <v>0.17647058823529413</v>
          </cell>
          <cell r="O488">
            <v>0.58823529411764708</v>
          </cell>
          <cell r="P488">
            <v>46</v>
          </cell>
          <cell r="Q488">
            <v>30.7</v>
          </cell>
          <cell r="R488">
            <v>3.07</v>
          </cell>
          <cell r="S488">
            <v>9.2100000000000009</v>
          </cell>
          <cell r="T488">
            <v>9.2100000000000009</v>
          </cell>
          <cell r="U488">
            <v>9.2100000000000009</v>
          </cell>
          <cell r="V488">
            <v>0.26315789473684209</v>
          </cell>
          <cell r="W488">
            <v>0.31578947368421051</v>
          </cell>
          <cell r="X488">
            <v>0.42105263157894735</v>
          </cell>
          <cell r="Y488">
            <v>60</v>
          </cell>
        </row>
        <row r="489">
          <cell r="A489" t="str">
            <v>2023-Puebla</v>
          </cell>
          <cell r="B489" t="str">
            <v>2023-Santos Laguna</v>
          </cell>
          <cell r="C489">
            <v>2023</v>
          </cell>
          <cell r="D489" t="str">
            <v>Puebla</v>
          </cell>
          <cell r="E489">
            <v>2</v>
          </cell>
          <cell r="F489">
            <v>3</v>
          </cell>
          <cell r="G489" t="str">
            <v>Santos Laguna</v>
          </cell>
          <cell r="H489">
            <v>26.7</v>
          </cell>
          <cell r="I489">
            <v>2.67</v>
          </cell>
          <cell r="J489">
            <v>8.01</v>
          </cell>
          <cell r="K489">
            <v>8.01</v>
          </cell>
          <cell r="L489">
            <v>8.01</v>
          </cell>
          <cell r="M489">
            <v>0.23529411764705882</v>
          </cell>
          <cell r="N489">
            <v>0.11764705882352941</v>
          </cell>
          <cell r="O489">
            <v>0.6470588235294118</v>
          </cell>
          <cell r="P489">
            <v>34</v>
          </cell>
          <cell r="Q489" t="str">
            <v>NULL</v>
          </cell>
          <cell r="R489" t="str">
            <v>NULL</v>
          </cell>
          <cell r="S489" t="str">
            <v>NULL</v>
          </cell>
          <cell r="T489" t="str">
            <v>NULL</v>
          </cell>
          <cell r="U489" t="str">
            <v>NULL</v>
          </cell>
          <cell r="V489">
            <v>0</v>
          </cell>
          <cell r="W489">
            <v>0.11764705882352941</v>
          </cell>
          <cell r="X489">
            <v>0.88235294117647056</v>
          </cell>
          <cell r="Y489">
            <v>46</v>
          </cell>
        </row>
        <row r="490">
          <cell r="A490" t="str">
            <v>2023-Santos Laguna</v>
          </cell>
          <cell r="B490" t="str">
            <v>2023-Querétaro</v>
          </cell>
          <cell r="C490">
            <v>2023</v>
          </cell>
          <cell r="D490" t="str">
            <v>Santos Laguna</v>
          </cell>
          <cell r="E490">
            <v>0</v>
          </cell>
          <cell r="F490">
            <v>2</v>
          </cell>
          <cell r="G490" t="str">
            <v>Querétaro</v>
          </cell>
          <cell r="H490">
            <v>46</v>
          </cell>
          <cell r="I490">
            <v>4.5999999999999996</v>
          </cell>
          <cell r="J490">
            <v>13.8</v>
          </cell>
          <cell r="K490">
            <v>13.8</v>
          </cell>
          <cell r="L490">
            <v>13.8</v>
          </cell>
          <cell r="M490">
            <v>0.23529411764705882</v>
          </cell>
          <cell r="N490">
            <v>0.17647058823529413</v>
          </cell>
          <cell r="O490">
            <v>0.58823529411764708</v>
          </cell>
          <cell r="P490">
            <v>46</v>
          </cell>
          <cell r="Q490" t="str">
            <v>NULL</v>
          </cell>
          <cell r="R490" t="str">
            <v>NULL</v>
          </cell>
          <cell r="S490" t="str">
            <v>NULL</v>
          </cell>
          <cell r="T490" t="str">
            <v>NULL</v>
          </cell>
          <cell r="U490" t="str">
            <v>NULL</v>
          </cell>
          <cell r="V490">
            <v>0.17647058823529413</v>
          </cell>
          <cell r="W490">
            <v>0.17647058823529413</v>
          </cell>
          <cell r="X490">
            <v>0.6470588235294118</v>
          </cell>
          <cell r="Y490">
            <v>64</v>
          </cell>
        </row>
        <row r="491">
          <cell r="A491" t="str">
            <v>2024-Monterrey</v>
          </cell>
          <cell r="B491" t="str">
            <v>2024-Tigres</v>
          </cell>
          <cell r="C491">
            <v>2024</v>
          </cell>
          <cell r="D491" t="str">
            <v>Monterrey</v>
          </cell>
          <cell r="E491">
            <v>1</v>
          </cell>
          <cell r="F491">
            <v>1</v>
          </cell>
          <cell r="G491" t="str">
            <v>Tigres</v>
          </cell>
          <cell r="H491">
            <v>88.6</v>
          </cell>
          <cell r="I491">
            <v>8.86</v>
          </cell>
          <cell r="J491">
            <v>26.58</v>
          </cell>
          <cell r="K491">
            <v>26.58</v>
          </cell>
          <cell r="L491">
            <v>26.58</v>
          </cell>
          <cell r="M491">
            <v>0.60869565217391308</v>
          </cell>
          <cell r="N491">
            <v>0.17391304347826086</v>
          </cell>
          <cell r="O491">
            <v>0.21739130434782608</v>
          </cell>
          <cell r="P491">
            <v>118</v>
          </cell>
          <cell r="Q491" t="str">
            <v>NULL</v>
          </cell>
          <cell r="R491" t="str">
            <v>NULL</v>
          </cell>
          <cell r="S491" t="str">
            <v>NULL</v>
          </cell>
          <cell r="T491" t="str">
            <v>NULL</v>
          </cell>
          <cell r="U491" t="str">
            <v>NULL</v>
          </cell>
          <cell r="V491">
            <v>0.3</v>
          </cell>
          <cell r="W491">
            <v>0.3</v>
          </cell>
          <cell r="X491">
            <v>0.4</v>
          </cell>
          <cell r="Y491">
            <v>107</v>
          </cell>
        </row>
        <row r="492">
          <cell r="A492" t="str">
            <v>2024-Tigres</v>
          </cell>
          <cell r="B492" t="str">
            <v>2024-Monterrey</v>
          </cell>
          <cell r="C492">
            <v>2024</v>
          </cell>
          <cell r="D492" t="str">
            <v>Tigres</v>
          </cell>
          <cell r="E492">
            <v>1</v>
          </cell>
          <cell r="F492">
            <v>2</v>
          </cell>
          <cell r="G492" t="str">
            <v>Monterrey</v>
          </cell>
          <cell r="H492">
            <v>67</v>
          </cell>
          <cell r="I492">
            <v>6.7</v>
          </cell>
          <cell r="J492">
            <v>20.100000000000001</v>
          </cell>
          <cell r="K492">
            <v>20.100000000000001</v>
          </cell>
          <cell r="L492">
            <v>20.100000000000001</v>
          </cell>
          <cell r="M492">
            <v>0.7</v>
          </cell>
          <cell r="N492">
            <v>0.25</v>
          </cell>
          <cell r="O492">
            <v>0.05</v>
          </cell>
          <cell r="P492">
            <v>107</v>
          </cell>
          <cell r="Q492">
            <v>88.6</v>
          </cell>
          <cell r="R492">
            <v>8.86</v>
          </cell>
          <cell r="S492">
            <v>26.58</v>
          </cell>
          <cell r="T492">
            <v>26.58</v>
          </cell>
          <cell r="U492">
            <v>26.58</v>
          </cell>
          <cell r="V492">
            <v>0.38095238095238093</v>
          </cell>
          <cell r="W492">
            <v>0.23809523809523808</v>
          </cell>
          <cell r="X492">
            <v>0.38095238095238093</v>
          </cell>
          <cell r="Y492">
            <v>118</v>
          </cell>
        </row>
        <row r="493">
          <cell r="A493" t="str">
            <v>2024-Tigres</v>
          </cell>
          <cell r="B493" t="str">
            <v>2024-Xolos</v>
          </cell>
          <cell r="C493">
            <v>2024</v>
          </cell>
          <cell r="D493" t="str">
            <v>Tigres</v>
          </cell>
          <cell r="E493">
            <v>4</v>
          </cell>
          <cell r="F493">
            <v>1</v>
          </cell>
          <cell r="G493" t="str">
            <v>Xolos</v>
          </cell>
          <cell r="H493">
            <v>67</v>
          </cell>
          <cell r="I493">
            <v>6.7</v>
          </cell>
          <cell r="J493">
            <v>20.100000000000001</v>
          </cell>
          <cell r="K493">
            <v>20.100000000000001</v>
          </cell>
          <cell r="L493">
            <v>20.100000000000001</v>
          </cell>
          <cell r="M493">
            <v>0.7</v>
          </cell>
          <cell r="N493">
            <v>0.25</v>
          </cell>
          <cell r="O493">
            <v>0.05</v>
          </cell>
          <cell r="P493">
            <v>107</v>
          </cell>
          <cell r="Q493">
            <v>39.15</v>
          </cell>
          <cell r="R493">
            <v>3.92</v>
          </cell>
          <cell r="S493">
            <v>11.75</v>
          </cell>
          <cell r="T493">
            <v>11.75</v>
          </cell>
          <cell r="U493">
            <v>11.75</v>
          </cell>
          <cell r="V493">
            <v>0.27777777777777779</v>
          </cell>
          <cell r="W493">
            <v>0.22222222222222221</v>
          </cell>
          <cell r="X493">
            <v>0.5</v>
          </cell>
          <cell r="Y493">
            <v>49</v>
          </cell>
        </row>
        <row r="494">
          <cell r="A494" t="str">
            <v>2024-Tigres</v>
          </cell>
          <cell r="B494" t="str">
            <v>2024-Necaxa</v>
          </cell>
          <cell r="C494">
            <v>2024</v>
          </cell>
          <cell r="D494" t="str">
            <v>Tigres</v>
          </cell>
          <cell r="E494">
            <v>5</v>
          </cell>
          <cell r="F494">
            <v>2</v>
          </cell>
          <cell r="G494" t="str">
            <v>Necaxa</v>
          </cell>
          <cell r="H494">
            <v>67</v>
          </cell>
          <cell r="I494">
            <v>6.7</v>
          </cell>
          <cell r="J494">
            <v>20.100000000000001</v>
          </cell>
          <cell r="K494">
            <v>20.100000000000001</v>
          </cell>
          <cell r="L494">
            <v>20.100000000000001</v>
          </cell>
          <cell r="M494">
            <v>0.7</v>
          </cell>
          <cell r="N494">
            <v>0.25</v>
          </cell>
          <cell r="O494">
            <v>0.05</v>
          </cell>
          <cell r="P494">
            <v>107</v>
          </cell>
          <cell r="Q494">
            <v>38.5</v>
          </cell>
          <cell r="R494">
            <v>3.85</v>
          </cell>
          <cell r="S494">
            <v>11.55</v>
          </cell>
          <cell r="T494">
            <v>11.55</v>
          </cell>
          <cell r="U494">
            <v>11.55</v>
          </cell>
          <cell r="V494">
            <v>0.27777777777777779</v>
          </cell>
          <cell r="W494">
            <v>0.27777777777777779</v>
          </cell>
          <cell r="X494">
            <v>0.44444444444444442</v>
          </cell>
          <cell r="Y494">
            <v>77</v>
          </cell>
        </row>
        <row r="495">
          <cell r="A495" t="str">
            <v>2024-Monterrey</v>
          </cell>
          <cell r="B495" t="str">
            <v>2024-Tigres</v>
          </cell>
          <cell r="C495">
            <v>2024</v>
          </cell>
          <cell r="D495" t="str">
            <v>Monterrey</v>
          </cell>
          <cell r="E495">
            <v>3</v>
          </cell>
          <cell r="F495">
            <v>3</v>
          </cell>
          <cell r="G495" t="str">
            <v>Tigres</v>
          </cell>
          <cell r="H495">
            <v>88.6</v>
          </cell>
          <cell r="I495">
            <v>8.86</v>
          </cell>
          <cell r="J495">
            <v>26.58</v>
          </cell>
          <cell r="K495">
            <v>26.58</v>
          </cell>
          <cell r="L495">
            <v>26.58</v>
          </cell>
          <cell r="M495">
            <v>0.60869565217391308</v>
          </cell>
          <cell r="N495">
            <v>0.17391304347826086</v>
          </cell>
          <cell r="O495">
            <v>0.21739130434782608</v>
          </cell>
          <cell r="P495">
            <v>118</v>
          </cell>
          <cell r="Q495" t="str">
            <v>NULL</v>
          </cell>
          <cell r="R495" t="str">
            <v>NULL</v>
          </cell>
          <cell r="S495" t="str">
            <v>NULL</v>
          </cell>
          <cell r="T495" t="str">
            <v>NULL</v>
          </cell>
          <cell r="U495" t="str">
            <v>NULL</v>
          </cell>
          <cell r="V495">
            <v>0.3</v>
          </cell>
          <cell r="W495">
            <v>0.3</v>
          </cell>
          <cell r="X495">
            <v>0.4</v>
          </cell>
          <cell r="Y495">
            <v>107</v>
          </cell>
        </row>
        <row r="496">
          <cell r="A496" t="str">
            <v>2024-Tigres</v>
          </cell>
          <cell r="B496" t="str">
            <v>2024-Pachuca</v>
          </cell>
          <cell r="C496">
            <v>2024</v>
          </cell>
          <cell r="D496" t="str">
            <v>Tigres</v>
          </cell>
          <cell r="E496">
            <v>0</v>
          </cell>
          <cell r="F496">
            <v>3</v>
          </cell>
          <cell r="G496" t="str">
            <v>Pachuca</v>
          </cell>
          <cell r="H496">
            <v>67</v>
          </cell>
          <cell r="I496">
            <v>6.7</v>
          </cell>
          <cell r="J496">
            <v>20.100000000000001</v>
          </cell>
          <cell r="K496">
            <v>20.100000000000001</v>
          </cell>
          <cell r="L496">
            <v>20.100000000000001</v>
          </cell>
          <cell r="M496">
            <v>0.7</v>
          </cell>
          <cell r="N496">
            <v>0.25</v>
          </cell>
          <cell r="O496">
            <v>0.05</v>
          </cell>
          <cell r="P496">
            <v>107</v>
          </cell>
          <cell r="Q496">
            <v>56.6</v>
          </cell>
          <cell r="R496">
            <v>5.66</v>
          </cell>
          <cell r="S496">
            <v>16.98</v>
          </cell>
          <cell r="T496">
            <v>16.98</v>
          </cell>
          <cell r="U496">
            <v>16.98</v>
          </cell>
          <cell r="V496">
            <v>0.26315789473684209</v>
          </cell>
          <cell r="W496">
            <v>0.15789473684210525</v>
          </cell>
          <cell r="X496">
            <v>0.57894736842105265</v>
          </cell>
          <cell r="Y496">
            <v>98</v>
          </cell>
        </row>
        <row r="497">
          <cell r="A497" t="str">
            <v>2024-Puebla</v>
          </cell>
          <cell r="B497" t="str">
            <v>2024-Tigres</v>
          </cell>
          <cell r="C497">
            <v>2024</v>
          </cell>
          <cell r="D497" t="str">
            <v>Puebla</v>
          </cell>
          <cell r="E497">
            <v>2</v>
          </cell>
          <cell r="F497">
            <v>3</v>
          </cell>
          <cell r="G497" t="str">
            <v>Tigres</v>
          </cell>
          <cell r="H497">
            <v>24.1</v>
          </cell>
          <cell r="I497">
            <v>2.41</v>
          </cell>
          <cell r="J497">
            <v>7.23</v>
          </cell>
          <cell r="K497">
            <v>7.23</v>
          </cell>
          <cell r="L497">
            <v>7.23</v>
          </cell>
          <cell r="M497">
            <v>0.23529411764705882</v>
          </cell>
          <cell r="N497">
            <v>0.11764705882352941</v>
          </cell>
          <cell r="O497">
            <v>0.6470588235294118</v>
          </cell>
          <cell r="P497">
            <v>34</v>
          </cell>
          <cell r="Q497" t="str">
            <v>NULL</v>
          </cell>
          <cell r="R497" t="str">
            <v>NULL</v>
          </cell>
          <cell r="S497" t="str">
            <v>NULL</v>
          </cell>
          <cell r="T497" t="str">
            <v>NULL</v>
          </cell>
          <cell r="U497" t="str">
            <v>NULL</v>
          </cell>
          <cell r="V497">
            <v>0.3</v>
          </cell>
          <cell r="W497">
            <v>0.3</v>
          </cell>
          <cell r="X497">
            <v>0.4</v>
          </cell>
          <cell r="Y497">
            <v>107</v>
          </cell>
        </row>
        <row r="498">
          <cell r="A498" t="str">
            <v>2024-Tigres</v>
          </cell>
          <cell r="B498" t="str">
            <v>2024-Mazatlán</v>
          </cell>
          <cell r="C498">
            <v>2024</v>
          </cell>
          <cell r="D498" t="str">
            <v>Tigres</v>
          </cell>
          <cell r="E498">
            <v>5</v>
          </cell>
          <cell r="F498">
            <v>1</v>
          </cell>
          <cell r="G498" t="str">
            <v>Mazatlán</v>
          </cell>
          <cell r="H498">
            <v>67</v>
          </cell>
          <cell r="I498">
            <v>6.7</v>
          </cell>
          <cell r="J498">
            <v>20.100000000000001</v>
          </cell>
          <cell r="K498">
            <v>20.100000000000001</v>
          </cell>
          <cell r="L498">
            <v>20.100000000000001</v>
          </cell>
          <cell r="M498">
            <v>0.7</v>
          </cell>
          <cell r="N498">
            <v>0.25</v>
          </cell>
          <cell r="O498">
            <v>0.05</v>
          </cell>
          <cell r="P498">
            <v>107</v>
          </cell>
          <cell r="Q498">
            <v>31.45</v>
          </cell>
          <cell r="R498">
            <v>3.15</v>
          </cell>
          <cell r="S498">
            <v>9.44</v>
          </cell>
          <cell r="T498">
            <v>9.44</v>
          </cell>
          <cell r="U498">
            <v>9.44</v>
          </cell>
          <cell r="V498">
            <v>5.8823529411764705E-2</v>
          </cell>
          <cell r="W498">
            <v>0.29411764705882354</v>
          </cell>
          <cell r="X498">
            <v>0.6470588235294118</v>
          </cell>
          <cell r="Y498">
            <v>40</v>
          </cell>
        </row>
        <row r="499">
          <cell r="A499" t="str">
            <v>2024-América</v>
          </cell>
          <cell r="B499" t="str">
            <v>2024-Tigres</v>
          </cell>
          <cell r="C499">
            <v>2024</v>
          </cell>
          <cell r="D499" t="str">
            <v>América</v>
          </cell>
          <cell r="E499">
            <v>2</v>
          </cell>
          <cell r="F499">
            <v>0</v>
          </cell>
          <cell r="G499" t="str">
            <v>Tigres</v>
          </cell>
          <cell r="H499">
            <v>92.45</v>
          </cell>
          <cell r="I499">
            <v>9.25</v>
          </cell>
          <cell r="J499">
            <v>27.73</v>
          </cell>
          <cell r="K499">
            <v>27.73</v>
          </cell>
          <cell r="L499">
            <v>27.73</v>
          </cell>
          <cell r="M499">
            <v>0.65217391304347827</v>
          </cell>
          <cell r="N499">
            <v>0.21739130434782608</v>
          </cell>
          <cell r="O499">
            <v>0.13043478260869565</v>
          </cell>
          <cell r="P499">
            <v>133</v>
          </cell>
          <cell r="Q499" t="str">
            <v>NULL</v>
          </cell>
          <cell r="R499" t="str">
            <v>NULL</v>
          </cell>
          <cell r="S499" t="str">
            <v>NULL</v>
          </cell>
          <cell r="T499" t="str">
            <v>NULL</v>
          </cell>
          <cell r="U499" t="str">
            <v>NULL</v>
          </cell>
          <cell r="V499">
            <v>0.3</v>
          </cell>
          <cell r="W499">
            <v>0.3</v>
          </cell>
          <cell r="X499">
            <v>0.4</v>
          </cell>
          <cell r="Y499">
            <v>107</v>
          </cell>
        </row>
        <row r="500">
          <cell r="A500" t="str">
            <v>2024-Toluca</v>
          </cell>
          <cell r="B500" t="str">
            <v>2024-Tigres</v>
          </cell>
          <cell r="C500">
            <v>2024</v>
          </cell>
          <cell r="D500" t="str">
            <v>Toluca</v>
          </cell>
          <cell r="E500">
            <v>2</v>
          </cell>
          <cell r="F500">
            <v>1</v>
          </cell>
          <cell r="G500" t="str">
            <v>Tigres</v>
          </cell>
          <cell r="H500">
            <v>77.45</v>
          </cell>
          <cell r="I500">
            <v>7.75</v>
          </cell>
          <cell r="J500">
            <v>23.24</v>
          </cell>
          <cell r="K500">
            <v>23.24</v>
          </cell>
          <cell r="L500">
            <v>23.24</v>
          </cell>
          <cell r="M500">
            <v>0.76190476190476186</v>
          </cell>
          <cell r="N500">
            <v>0.19047619047619047</v>
          </cell>
          <cell r="O500">
            <v>4.7619047619047616E-2</v>
          </cell>
          <cell r="P500">
            <v>118</v>
          </cell>
          <cell r="Q500" t="str">
            <v>NULL</v>
          </cell>
          <cell r="R500" t="str">
            <v>NULL</v>
          </cell>
          <cell r="S500" t="str">
            <v>NULL</v>
          </cell>
          <cell r="T500" t="str">
            <v>NULL</v>
          </cell>
          <cell r="U500" t="str">
            <v>NULL</v>
          </cell>
          <cell r="V500">
            <v>0.3</v>
          </cell>
          <cell r="W500">
            <v>0.3</v>
          </cell>
          <cell r="X500">
            <v>0.4</v>
          </cell>
          <cell r="Y500">
            <v>107</v>
          </cell>
        </row>
        <row r="501">
          <cell r="A501" t="str">
            <v>2024-Tigres</v>
          </cell>
          <cell r="B501" t="str">
            <v>2024-Juarez</v>
          </cell>
          <cell r="C501">
            <v>2024</v>
          </cell>
          <cell r="D501" t="str">
            <v>Tigres</v>
          </cell>
          <cell r="E501">
            <v>1</v>
          </cell>
          <cell r="F501">
            <v>0</v>
          </cell>
          <cell r="G501" t="str">
            <v>Juarez</v>
          </cell>
          <cell r="H501">
            <v>67</v>
          </cell>
          <cell r="I501">
            <v>6.7</v>
          </cell>
          <cell r="J501">
            <v>20.100000000000001</v>
          </cell>
          <cell r="K501">
            <v>20.100000000000001</v>
          </cell>
          <cell r="L501">
            <v>20.100000000000001</v>
          </cell>
          <cell r="M501">
            <v>0.7</v>
          </cell>
          <cell r="N501">
            <v>0.25</v>
          </cell>
          <cell r="O501">
            <v>0.05</v>
          </cell>
          <cell r="P501">
            <v>107</v>
          </cell>
          <cell r="Q501" t="str">
            <v>NULL</v>
          </cell>
          <cell r="R501" t="str">
            <v>NULL</v>
          </cell>
          <cell r="S501" t="str">
            <v>NULL</v>
          </cell>
          <cell r="T501" t="str">
            <v>NULL</v>
          </cell>
          <cell r="U501" t="str">
            <v>NULL</v>
          </cell>
          <cell r="V501">
            <v>0.35294117647058826</v>
          </cell>
          <cell r="W501">
            <v>0.17647058823529413</v>
          </cell>
          <cell r="X501">
            <v>0.47058823529411764</v>
          </cell>
          <cell r="Y501">
            <v>55</v>
          </cell>
        </row>
        <row r="502">
          <cell r="A502" t="str">
            <v>2024-Tigres</v>
          </cell>
          <cell r="B502" t="str">
            <v>2024-Atlas</v>
          </cell>
          <cell r="C502">
            <v>2024</v>
          </cell>
          <cell r="D502" t="str">
            <v>Tigres</v>
          </cell>
          <cell r="E502">
            <v>1</v>
          </cell>
          <cell r="F502">
            <v>1</v>
          </cell>
          <cell r="G502" t="str">
            <v>Atlas</v>
          </cell>
          <cell r="H502">
            <v>67</v>
          </cell>
          <cell r="I502">
            <v>6.7</v>
          </cell>
          <cell r="J502">
            <v>20.100000000000001</v>
          </cell>
          <cell r="K502">
            <v>20.100000000000001</v>
          </cell>
          <cell r="L502">
            <v>20.100000000000001</v>
          </cell>
          <cell r="M502">
            <v>0.7</v>
          </cell>
          <cell r="N502">
            <v>0.25</v>
          </cell>
          <cell r="O502">
            <v>0.05</v>
          </cell>
          <cell r="P502">
            <v>107</v>
          </cell>
          <cell r="Q502">
            <v>28.95</v>
          </cell>
          <cell r="R502">
            <v>2.9</v>
          </cell>
          <cell r="S502">
            <v>8.68</v>
          </cell>
          <cell r="T502">
            <v>8.68</v>
          </cell>
          <cell r="U502">
            <v>8.68</v>
          </cell>
          <cell r="V502">
            <v>0.26315789473684209</v>
          </cell>
          <cell r="W502">
            <v>0.31578947368421051</v>
          </cell>
          <cell r="X502">
            <v>0.42105263157894735</v>
          </cell>
          <cell r="Y502">
            <v>60</v>
          </cell>
        </row>
        <row r="503">
          <cell r="A503" t="str">
            <v>2024-Santos Laguna</v>
          </cell>
          <cell r="B503" t="str">
            <v>2024-Tigres</v>
          </cell>
          <cell r="C503">
            <v>2024</v>
          </cell>
          <cell r="D503" t="str">
            <v>Santos Laguna</v>
          </cell>
          <cell r="E503">
            <v>0</v>
          </cell>
          <cell r="F503">
            <v>3</v>
          </cell>
          <cell r="G503" t="str">
            <v>Tigres</v>
          </cell>
          <cell r="H503">
            <v>35.9</v>
          </cell>
          <cell r="I503">
            <v>3.59</v>
          </cell>
          <cell r="J503">
            <v>10.77</v>
          </cell>
          <cell r="K503">
            <v>10.77</v>
          </cell>
          <cell r="L503">
            <v>10.77</v>
          </cell>
          <cell r="M503">
            <v>0.23529411764705882</v>
          </cell>
          <cell r="N503">
            <v>0.17647058823529413</v>
          </cell>
          <cell r="O503">
            <v>0.58823529411764708</v>
          </cell>
          <cell r="P503">
            <v>46</v>
          </cell>
          <cell r="Q503" t="str">
            <v>NULL</v>
          </cell>
          <cell r="R503" t="str">
            <v>NULL</v>
          </cell>
          <cell r="S503" t="str">
            <v>NULL</v>
          </cell>
          <cell r="T503" t="str">
            <v>NULL</v>
          </cell>
          <cell r="U503" t="str">
            <v>NULL</v>
          </cell>
          <cell r="V503">
            <v>0.3</v>
          </cell>
          <cell r="W503">
            <v>0.3</v>
          </cell>
          <cell r="X503">
            <v>0.4</v>
          </cell>
          <cell r="Y503">
            <v>107</v>
          </cell>
        </row>
        <row r="504">
          <cell r="A504" t="str">
            <v>2024-Tigres</v>
          </cell>
          <cell r="B504" t="str">
            <v>2024-Pumas</v>
          </cell>
          <cell r="C504">
            <v>2024</v>
          </cell>
          <cell r="D504" t="str">
            <v>Tigres</v>
          </cell>
          <cell r="E504">
            <v>2</v>
          </cell>
          <cell r="F504">
            <v>2</v>
          </cell>
          <cell r="G504" t="str">
            <v>Pumas</v>
          </cell>
          <cell r="H504">
            <v>67</v>
          </cell>
          <cell r="I504">
            <v>6.7</v>
          </cell>
          <cell r="J504">
            <v>20.100000000000001</v>
          </cell>
          <cell r="K504">
            <v>20.100000000000001</v>
          </cell>
          <cell r="L504">
            <v>20.100000000000001</v>
          </cell>
          <cell r="M504">
            <v>0.7</v>
          </cell>
          <cell r="N504">
            <v>0.25</v>
          </cell>
          <cell r="O504">
            <v>0.05</v>
          </cell>
          <cell r="P504">
            <v>107</v>
          </cell>
          <cell r="Q504">
            <v>47.6</v>
          </cell>
          <cell r="R504">
            <v>4.76</v>
          </cell>
          <cell r="S504">
            <v>14.28</v>
          </cell>
          <cell r="T504">
            <v>14.28</v>
          </cell>
          <cell r="U504">
            <v>14.28</v>
          </cell>
          <cell r="V504">
            <v>0.3</v>
          </cell>
          <cell r="W504">
            <v>0.25</v>
          </cell>
          <cell r="X504">
            <v>0.45</v>
          </cell>
          <cell r="Y504">
            <v>75</v>
          </cell>
        </row>
        <row r="505">
          <cell r="A505" t="str">
            <v>2024-Atlético San Luis</v>
          </cell>
          <cell r="B505" t="str">
            <v>2024-Tigres</v>
          </cell>
          <cell r="C505">
            <v>2024</v>
          </cell>
          <cell r="D505" t="str">
            <v>Atlético San Luis</v>
          </cell>
          <cell r="E505">
            <v>1</v>
          </cell>
          <cell r="F505">
            <v>2</v>
          </cell>
          <cell r="G505" t="str">
            <v>Tigres</v>
          </cell>
          <cell r="H505">
            <v>45.95</v>
          </cell>
          <cell r="I505">
            <v>4.5999999999999996</v>
          </cell>
          <cell r="J505">
            <v>13.84</v>
          </cell>
          <cell r="K505">
            <v>13.84</v>
          </cell>
          <cell r="L505">
            <v>13.84</v>
          </cell>
          <cell r="M505">
            <v>0.68421052631578949</v>
          </cell>
          <cell r="N505">
            <v>5.2631578947368418E-2</v>
          </cell>
          <cell r="O505">
            <v>0.26315789473684209</v>
          </cell>
          <cell r="P505">
            <v>59</v>
          </cell>
          <cell r="Q505" t="str">
            <v>NULL</v>
          </cell>
          <cell r="R505" t="str">
            <v>NULL</v>
          </cell>
          <cell r="S505" t="str">
            <v>NULL</v>
          </cell>
          <cell r="T505" t="str">
            <v>NULL</v>
          </cell>
          <cell r="U505" t="str">
            <v>NULL</v>
          </cell>
          <cell r="V505">
            <v>0.3</v>
          </cell>
          <cell r="W505">
            <v>0.3</v>
          </cell>
          <cell r="X505">
            <v>0.4</v>
          </cell>
          <cell r="Y505">
            <v>107</v>
          </cell>
        </row>
        <row r="506">
          <cell r="A506" t="str">
            <v>2024-Tigres</v>
          </cell>
          <cell r="B506" t="str">
            <v>2024-Chivas</v>
          </cell>
          <cell r="C506">
            <v>2024</v>
          </cell>
          <cell r="D506" t="str">
            <v>Tigres</v>
          </cell>
          <cell r="E506">
            <v>1</v>
          </cell>
          <cell r="F506">
            <v>0</v>
          </cell>
          <cell r="G506" t="str">
            <v>Chivas</v>
          </cell>
          <cell r="H506">
            <v>67</v>
          </cell>
          <cell r="I506">
            <v>6.7</v>
          </cell>
          <cell r="J506">
            <v>20.100000000000001</v>
          </cell>
          <cell r="K506">
            <v>20.100000000000001</v>
          </cell>
          <cell r="L506">
            <v>20.100000000000001</v>
          </cell>
          <cell r="M506">
            <v>0.7</v>
          </cell>
          <cell r="N506">
            <v>0.25</v>
          </cell>
          <cell r="O506">
            <v>0.05</v>
          </cell>
          <cell r="P506">
            <v>107</v>
          </cell>
          <cell r="Q506" t="str">
            <v>NULL</v>
          </cell>
          <cell r="R506" t="str">
            <v>NULL</v>
          </cell>
          <cell r="S506" t="str">
            <v>NULL</v>
          </cell>
          <cell r="T506" t="str">
            <v>NULL</v>
          </cell>
          <cell r="U506" t="str">
            <v>NULL</v>
          </cell>
          <cell r="V506">
            <v>0.23529411764705882</v>
          </cell>
          <cell r="W506">
            <v>0.23529411764705882</v>
          </cell>
          <cell r="X506">
            <v>0.52941176470588236</v>
          </cell>
          <cell r="Y506">
            <v>99</v>
          </cell>
        </row>
        <row r="507">
          <cell r="A507" t="str">
            <v>2024-León</v>
          </cell>
          <cell r="B507" t="str">
            <v>2024-Tigres</v>
          </cell>
          <cell r="C507">
            <v>2024</v>
          </cell>
          <cell r="D507" t="str">
            <v>León</v>
          </cell>
          <cell r="E507">
            <v>1</v>
          </cell>
          <cell r="F507">
            <v>2</v>
          </cell>
          <cell r="G507" t="str">
            <v>Tigres</v>
          </cell>
          <cell r="H507">
            <v>29.55</v>
          </cell>
          <cell r="I507">
            <v>2.96</v>
          </cell>
          <cell r="J507">
            <v>8.8699999999999992</v>
          </cell>
          <cell r="K507">
            <v>8.8699999999999992</v>
          </cell>
          <cell r="L507">
            <v>8.8699999999999992</v>
          </cell>
          <cell r="M507">
            <v>0.3888888888888889</v>
          </cell>
          <cell r="N507">
            <v>0.3888888888888889</v>
          </cell>
          <cell r="O507">
            <v>0.22222222222222221</v>
          </cell>
          <cell r="P507">
            <v>87</v>
          </cell>
          <cell r="Q507" t="str">
            <v>NULL</v>
          </cell>
          <cell r="R507" t="str">
            <v>NULL</v>
          </cell>
          <cell r="S507" t="str">
            <v>NULL</v>
          </cell>
          <cell r="T507" t="str">
            <v>NULL</v>
          </cell>
          <cell r="U507" t="str">
            <v>NULL</v>
          </cell>
          <cell r="V507">
            <v>0.3</v>
          </cell>
          <cell r="W507">
            <v>0.3</v>
          </cell>
          <cell r="X507">
            <v>0.4</v>
          </cell>
          <cell r="Y507">
            <v>107</v>
          </cell>
        </row>
        <row r="508">
          <cell r="A508" t="str">
            <v>2023-América</v>
          </cell>
          <cell r="B508" t="str">
            <v>2023-Tigres</v>
          </cell>
          <cell r="C508">
            <v>2023</v>
          </cell>
          <cell r="D508" t="str">
            <v>América</v>
          </cell>
          <cell r="E508">
            <v>0</v>
          </cell>
          <cell r="F508">
            <v>0</v>
          </cell>
          <cell r="G508" t="str">
            <v>Tigres</v>
          </cell>
          <cell r="H508">
            <v>84.2</v>
          </cell>
          <cell r="I508">
            <v>8.42</v>
          </cell>
          <cell r="J508">
            <v>25.26</v>
          </cell>
          <cell r="K508">
            <v>25.26</v>
          </cell>
          <cell r="L508">
            <v>25.26</v>
          </cell>
          <cell r="M508">
            <v>0.65217391304347827</v>
          </cell>
          <cell r="N508">
            <v>0.21739130434782608</v>
          </cell>
          <cell r="O508">
            <v>0.13043478260869565</v>
          </cell>
          <cell r="P508">
            <v>133</v>
          </cell>
          <cell r="Q508" t="str">
            <v>NULL</v>
          </cell>
          <cell r="R508" t="str">
            <v>NULL</v>
          </cell>
          <cell r="S508" t="str">
            <v>NULL</v>
          </cell>
          <cell r="T508" t="str">
            <v>NULL</v>
          </cell>
          <cell r="U508" t="str">
            <v>NULL</v>
          </cell>
          <cell r="V508">
            <v>0.3</v>
          </cell>
          <cell r="W508">
            <v>0.3</v>
          </cell>
          <cell r="X508">
            <v>0.4</v>
          </cell>
          <cell r="Y508">
            <v>107</v>
          </cell>
        </row>
        <row r="509">
          <cell r="A509" t="str">
            <v>2023-Tigres</v>
          </cell>
          <cell r="B509" t="str">
            <v>2023-América</v>
          </cell>
          <cell r="C509">
            <v>2023</v>
          </cell>
          <cell r="D509" t="str">
            <v>Tigres</v>
          </cell>
          <cell r="E509">
            <v>1</v>
          </cell>
          <cell r="F509">
            <v>1</v>
          </cell>
          <cell r="G509" t="str">
            <v>América</v>
          </cell>
          <cell r="H509">
            <v>67.599999999999994</v>
          </cell>
          <cell r="I509">
            <v>6.76</v>
          </cell>
          <cell r="J509">
            <v>20.28</v>
          </cell>
          <cell r="K509">
            <v>20.28</v>
          </cell>
          <cell r="L509">
            <v>20.28</v>
          </cell>
          <cell r="M509">
            <v>0.7</v>
          </cell>
          <cell r="N509">
            <v>0.25</v>
          </cell>
          <cell r="O509">
            <v>0.05</v>
          </cell>
          <cell r="P509">
            <v>107</v>
          </cell>
          <cell r="Q509">
            <v>84.2</v>
          </cell>
          <cell r="R509">
            <v>8.42</v>
          </cell>
          <cell r="S509">
            <v>25.26</v>
          </cell>
          <cell r="T509">
            <v>25.26</v>
          </cell>
          <cell r="U509">
            <v>25.26</v>
          </cell>
          <cell r="V509">
            <v>0.375</v>
          </cell>
          <cell r="W509">
            <v>0.29166666666666669</v>
          </cell>
          <cell r="X509">
            <v>0.33333333333333331</v>
          </cell>
          <cell r="Y509">
            <v>133</v>
          </cell>
        </row>
        <row r="510">
          <cell r="A510" t="str">
            <v>2023-Tigres</v>
          </cell>
          <cell r="B510" t="str">
            <v>2023-Pumas</v>
          </cell>
          <cell r="C510">
            <v>2023</v>
          </cell>
          <cell r="D510" t="str">
            <v>Tigres</v>
          </cell>
          <cell r="E510">
            <v>1</v>
          </cell>
          <cell r="F510">
            <v>1</v>
          </cell>
          <cell r="G510" t="str">
            <v>Pumas</v>
          </cell>
          <cell r="H510">
            <v>67.599999999999994</v>
          </cell>
          <cell r="I510">
            <v>6.76</v>
          </cell>
          <cell r="J510">
            <v>20.28</v>
          </cell>
          <cell r="K510">
            <v>20.28</v>
          </cell>
          <cell r="L510">
            <v>20.28</v>
          </cell>
          <cell r="M510">
            <v>0.7</v>
          </cell>
          <cell r="N510">
            <v>0.25</v>
          </cell>
          <cell r="O510">
            <v>0.05</v>
          </cell>
          <cell r="P510">
            <v>107</v>
          </cell>
          <cell r="Q510" t="str">
            <v>NULL</v>
          </cell>
          <cell r="R510" t="str">
            <v>NULL</v>
          </cell>
          <cell r="S510" t="str">
            <v>NULL</v>
          </cell>
          <cell r="T510" t="str">
            <v>NULL</v>
          </cell>
          <cell r="U510" t="str">
            <v>NULL</v>
          </cell>
          <cell r="V510">
            <v>0.3</v>
          </cell>
          <cell r="W510">
            <v>0.25</v>
          </cell>
          <cell r="X510">
            <v>0.45</v>
          </cell>
          <cell r="Y510">
            <v>75</v>
          </cell>
        </row>
        <row r="511">
          <cell r="A511" t="str">
            <v>2023-Tigres</v>
          </cell>
          <cell r="B511" t="str">
            <v>2023-Puebla</v>
          </cell>
          <cell r="C511">
            <v>2023</v>
          </cell>
          <cell r="D511" t="str">
            <v>Tigres</v>
          </cell>
          <cell r="E511">
            <v>3</v>
          </cell>
          <cell r="F511">
            <v>0</v>
          </cell>
          <cell r="G511" t="str">
            <v>Puebla</v>
          </cell>
          <cell r="H511">
            <v>67.599999999999994</v>
          </cell>
          <cell r="I511">
            <v>6.76</v>
          </cell>
          <cell r="J511">
            <v>20.28</v>
          </cell>
          <cell r="K511">
            <v>20.28</v>
          </cell>
          <cell r="L511">
            <v>20.28</v>
          </cell>
          <cell r="M511">
            <v>0.7</v>
          </cell>
          <cell r="N511">
            <v>0.25</v>
          </cell>
          <cell r="O511">
            <v>0.05</v>
          </cell>
          <cell r="P511">
            <v>107</v>
          </cell>
          <cell r="Q511">
            <v>26.7</v>
          </cell>
          <cell r="R511">
            <v>2.67</v>
          </cell>
          <cell r="S511">
            <v>8.01</v>
          </cell>
          <cell r="T511">
            <v>8.01</v>
          </cell>
          <cell r="U511">
            <v>8.01</v>
          </cell>
          <cell r="V511">
            <v>0.11764705882352941</v>
          </cell>
          <cell r="W511">
            <v>0.17647058823529413</v>
          </cell>
          <cell r="X511">
            <v>0.70588235294117652</v>
          </cell>
          <cell r="Y511">
            <v>34</v>
          </cell>
        </row>
        <row r="512">
          <cell r="A512" t="str">
            <v>2023-Puebla</v>
          </cell>
          <cell r="B512" t="str">
            <v>2023-Tigres</v>
          </cell>
          <cell r="C512">
            <v>2023</v>
          </cell>
          <cell r="D512" t="str">
            <v>Puebla</v>
          </cell>
          <cell r="E512">
            <v>2</v>
          </cell>
          <cell r="F512">
            <v>2</v>
          </cell>
          <cell r="G512" t="str">
            <v>Tigres</v>
          </cell>
          <cell r="H512">
            <v>26.7</v>
          </cell>
          <cell r="I512">
            <v>2.67</v>
          </cell>
          <cell r="J512">
            <v>8.01</v>
          </cell>
          <cell r="K512">
            <v>8.01</v>
          </cell>
          <cell r="L512">
            <v>8.01</v>
          </cell>
          <cell r="M512">
            <v>0.23529411764705882</v>
          </cell>
          <cell r="N512">
            <v>0.11764705882352941</v>
          </cell>
          <cell r="O512">
            <v>0.6470588235294118</v>
          </cell>
          <cell r="P512">
            <v>34</v>
          </cell>
          <cell r="Q512" t="str">
            <v>NULL</v>
          </cell>
          <cell r="R512" t="str">
            <v>NULL</v>
          </cell>
          <cell r="S512" t="str">
            <v>NULL</v>
          </cell>
          <cell r="T512" t="str">
            <v>NULL</v>
          </cell>
          <cell r="U512" t="str">
            <v>NULL</v>
          </cell>
          <cell r="V512">
            <v>0.3</v>
          </cell>
          <cell r="W512">
            <v>0.3</v>
          </cell>
          <cell r="X512">
            <v>0.4</v>
          </cell>
          <cell r="Y512">
            <v>107</v>
          </cell>
        </row>
        <row r="513">
          <cell r="A513" t="str">
            <v>2023-Tigres</v>
          </cell>
          <cell r="B513" t="str">
            <v>2023-América</v>
          </cell>
          <cell r="C513">
            <v>2023</v>
          </cell>
          <cell r="D513" t="str">
            <v>Tigres</v>
          </cell>
          <cell r="E513">
            <v>0</v>
          </cell>
          <cell r="F513">
            <v>0</v>
          </cell>
          <cell r="G513" t="str">
            <v>América</v>
          </cell>
          <cell r="H513">
            <v>67.599999999999994</v>
          </cell>
          <cell r="I513">
            <v>6.76</v>
          </cell>
          <cell r="J513">
            <v>20.28</v>
          </cell>
          <cell r="K513">
            <v>20.28</v>
          </cell>
          <cell r="L513">
            <v>20.28</v>
          </cell>
          <cell r="M513">
            <v>0.7</v>
          </cell>
          <cell r="N513">
            <v>0.25</v>
          </cell>
          <cell r="O513">
            <v>0.05</v>
          </cell>
          <cell r="P513">
            <v>107</v>
          </cell>
          <cell r="Q513">
            <v>84.2</v>
          </cell>
          <cell r="R513">
            <v>8.42</v>
          </cell>
          <cell r="S513">
            <v>25.26</v>
          </cell>
          <cell r="T513">
            <v>25.26</v>
          </cell>
          <cell r="U513">
            <v>25.26</v>
          </cell>
          <cell r="V513">
            <v>0.375</v>
          </cell>
          <cell r="W513">
            <v>0.29166666666666669</v>
          </cell>
          <cell r="X513">
            <v>0.33333333333333331</v>
          </cell>
          <cell r="Y513">
            <v>133</v>
          </cell>
        </row>
        <row r="514">
          <cell r="A514" t="str">
            <v>2023-Tigres</v>
          </cell>
          <cell r="B514" t="str">
            <v>2023-Atlético San Luis</v>
          </cell>
          <cell r="C514">
            <v>2023</v>
          </cell>
          <cell r="D514" t="str">
            <v>Tigres</v>
          </cell>
          <cell r="E514">
            <v>2</v>
          </cell>
          <cell r="F514">
            <v>2</v>
          </cell>
          <cell r="G514" t="str">
            <v>Atlético San Luis</v>
          </cell>
          <cell r="H514">
            <v>67.599999999999994</v>
          </cell>
          <cell r="I514">
            <v>6.76</v>
          </cell>
          <cell r="J514">
            <v>20.28</v>
          </cell>
          <cell r="K514">
            <v>20.28</v>
          </cell>
          <cell r="L514">
            <v>20.28</v>
          </cell>
          <cell r="M514">
            <v>0.7</v>
          </cell>
          <cell r="N514">
            <v>0.25</v>
          </cell>
          <cell r="O514">
            <v>0.05</v>
          </cell>
          <cell r="P514">
            <v>107</v>
          </cell>
          <cell r="Q514">
            <v>35.85</v>
          </cell>
          <cell r="R514">
            <v>3.59</v>
          </cell>
          <cell r="S514">
            <v>10.77</v>
          </cell>
          <cell r="T514">
            <v>10.77</v>
          </cell>
          <cell r="U514">
            <v>10.77</v>
          </cell>
          <cell r="V514">
            <v>0.21052631578947367</v>
          </cell>
          <cell r="W514">
            <v>0.15789473684210525</v>
          </cell>
          <cell r="X514">
            <v>0.63157894736842102</v>
          </cell>
          <cell r="Y514">
            <v>59</v>
          </cell>
        </row>
        <row r="515">
          <cell r="A515" t="str">
            <v>2023-Xolos</v>
          </cell>
          <cell r="B515" t="str">
            <v>2023-Tigres</v>
          </cell>
          <cell r="C515">
            <v>2023</v>
          </cell>
          <cell r="D515" t="str">
            <v>Xolos</v>
          </cell>
          <cell r="E515">
            <v>2</v>
          </cell>
          <cell r="F515">
            <v>0</v>
          </cell>
          <cell r="G515" t="str">
            <v>Tigres</v>
          </cell>
          <cell r="H515">
            <v>38.299999999999997</v>
          </cell>
          <cell r="I515">
            <v>3.83</v>
          </cell>
          <cell r="J515">
            <v>11.49</v>
          </cell>
          <cell r="K515">
            <v>11.49</v>
          </cell>
          <cell r="L515">
            <v>11.49</v>
          </cell>
          <cell r="M515">
            <v>0.55000000000000004</v>
          </cell>
          <cell r="N515">
            <v>0.15</v>
          </cell>
          <cell r="O515">
            <v>0.3</v>
          </cell>
          <cell r="P515">
            <v>49</v>
          </cell>
          <cell r="Q515" t="str">
            <v>NULL</v>
          </cell>
          <cell r="R515" t="str">
            <v>NULL</v>
          </cell>
          <cell r="S515" t="str">
            <v>NULL</v>
          </cell>
          <cell r="T515" t="str">
            <v>NULL</v>
          </cell>
          <cell r="U515" t="str">
            <v>NULL</v>
          </cell>
          <cell r="V515">
            <v>0.3</v>
          </cell>
          <cell r="W515">
            <v>0.3</v>
          </cell>
          <cell r="X515">
            <v>0.4</v>
          </cell>
          <cell r="Y515">
            <v>107</v>
          </cell>
        </row>
        <row r="516">
          <cell r="A516" t="str">
            <v>2023-Chivas</v>
          </cell>
          <cell r="B516" t="str">
            <v>2023-Tigres</v>
          </cell>
          <cell r="C516">
            <v>2023</v>
          </cell>
          <cell r="D516" t="str">
            <v>Chivas</v>
          </cell>
          <cell r="E516">
            <v>0</v>
          </cell>
          <cell r="F516">
            <v>4</v>
          </cell>
          <cell r="G516" t="str">
            <v>Tigres</v>
          </cell>
          <cell r="H516">
            <v>69.7</v>
          </cell>
          <cell r="I516">
            <v>6.97</v>
          </cell>
          <cell r="J516">
            <v>20.91</v>
          </cell>
          <cell r="K516">
            <v>20.91</v>
          </cell>
          <cell r="L516">
            <v>20.91</v>
          </cell>
          <cell r="M516">
            <v>0.44444444444444442</v>
          </cell>
          <cell r="N516">
            <v>0.33333333333333331</v>
          </cell>
          <cell r="O516">
            <v>0.22222222222222221</v>
          </cell>
          <cell r="P516">
            <v>99</v>
          </cell>
          <cell r="Q516" t="str">
            <v>NULL</v>
          </cell>
          <cell r="R516" t="str">
            <v>NULL</v>
          </cell>
          <cell r="S516" t="str">
            <v>NULL</v>
          </cell>
          <cell r="T516" t="str">
            <v>NULL</v>
          </cell>
          <cell r="U516" t="str">
            <v>NULL</v>
          </cell>
          <cell r="V516">
            <v>0.3</v>
          </cell>
          <cell r="W516">
            <v>0.3</v>
          </cell>
          <cell r="X516">
            <v>0.4</v>
          </cell>
          <cell r="Y516">
            <v>107</v>
          </cell>
        </row>
        <row r="517">
          <cell r="A517" t="str">
            <v>2023-Tigres</v>
          </cell>
          <cell r="B517" t="str">
            <v>2023-Cruz Azul</v>
          </cell>
          <cell r="C517">
            <v>2023</v>
          </cell>
          <cell r="D517" t="str">
            <v>Tigres</v>
          </cell>
          <cell r="E517">
            <v>2</v>
          </cell>
          <cell r="F517">
            <v>1</v>
          </cell>
          <cell r="G517" t="str">
            <v>Cruz Azul</v>
          </cell>
          <cell r="H517">
            <v>67.599999999999994</v>
          </cell>
          <cell r="I517">
            <v>6.76</v>
          </cell>
          <cell r="J517">
            <v>20.28</v>
          </cell>
          <cell r="K517">
            <v>20.28</v>
          </cell>
          <cell r="L517">
            <v>20.28</v>
          </cell>
          <cell r="M517">
            <v>0.7</v>
          </cell>
          <cell r="N517">
            <v>0.25</v>
          </cell>
          <cell r="O517">
            <v>0.05</v>
          </cell>
          <cell r="P517">
            <v>107</v>
          </cell>
          <cell r="Q517">
            <v>72.2</v>
          </cell>
          <cell r="R517">
            <v>7.22</v>
          </cell>
          <cell r="S517">
            <v>21.66</v>
          </cell>
          <cell r="T517">
            <v>21.66</v>
          </cell>
          <cell r="U517">
            <v>21.66</v>
          </cell>
          <cell r="V517">
            <v>0.52380952380952384</v>
          </cell>
          <cell r="W517">
            <v>0.23809523809523808</v>
          </cell>
          <cell r="X517">
            <v>0.23809523809523808</v>
          </cell>
          <cell r="Y517">
            <v>107</v>
          </cell>
        </row>
        <row r="518">
          <cell r="A518" t="str">
            <v>2023-Pachuca</v>
          </cell>
          <cell r="B518" t="str">
            <v>2023-Tigres</v>
          </cell>
          <cell r="C518">
            <v>2023</v>
          </cell>
          <cell r="D518" t="str">
            <v>Pachuca</v>
          </cell>
          <cell r="E518">
            <v>1</v>
          </cell>
          <cell r="F518">
            <v>1</v>
          </cell>
          <cell r="G518" t="str">
            <v>Tigres</v>
          </cell>
          <cell r="H518">
            <v>51.25</v>
          </cell>
          <cell r="I518">
            <v>5.13</v>
          </cell>
          <cell r="J518">
            <v>15.38</v>
          </cell>
          <cell r="K518">
            <v>15.38</v>
          </cell>
          <cell r="L518">
            <v>15.38</v>
          </cell>
          <cell r="M518">
            <v>0.3888888888888889</v>
          </cell>
          <cell r="N518">
            <v>0.33333333333333331</v>
          </cell>
          <cell r="O518">
            <v>0.27777777777777779</v>
          </cell>
          <cell r="P518">
            <v>98</v>
          </cell>
          <cell r="Q518" t="str">
            <v>NULL</v>
          </cell>
          <cell r="R518" t="str">
            <v>NULL</v>
          </cell>
          <cell r="S518" t="str">
            <v>NULL</v>
          </cell>
          <cell r="T518" t="str">
            <v>NULL</v>
          </cell>
          <cell r="U518" t="str">
            <v>NULL</v>
          </cell>
          <cell r="V518">
            <v>0.3</v>
          </cell>
          <cell r="W518">
            <v>0.3</v>
          </cell>
          <cell r="X518">
            <v>0.4</v>
          </cell>
          <cell r="Y518">
            <v>107</v>
          </cell>
        </row>
        <row r="519">
          <cell r="A519" t="str">
            <v>2023-Tigres</v>
          </cell>
          <cell r="B519" t="str">
            <v>2023-Toluca</v>
          </cell>
          <cell r="C519">
            <v>2023</v>
          </cell>
          <cell r="D519" t="str">
            <v>Tigres</v>
          </cell>
          <cell r="E519">
            <v>2</v>
          </cell>
          <cell r="F519">
            <v>2</v>
          </cell>
          <cell r="G519" t="str">
            <v>Toluca</v>
          </cell>
          <cell r="H519">
            <v>67.599999999999994</v>
          </cell>
          <cell r="I519">
            <v>6.76</v>
          </cell>
          <cell r="J519">
            <v>20.28</v>
          </cell>
          <cell r="K519">
            <v>20.28</v>
          </cell>
          <cell r="L519">
            <v>20.28</v>
          </cell>
          <cell r="M519">
            <v>0.7</v>
          </cell>
          <cell r="N519">
            <v>0.25</v>
          </cell>
          <cell r="O519">
            <v>0.05</v>
          </cell>
          <cell r="P519">
            <v>107</v>
          </cell>
          <cell r="Q519">
            <v>66.2</v>
          </cell>
          <cell r="R519">
            <v>6.62</v>
          </cell>
          <cell r="S519">
            <v>19.86</v>
          </cell>
          <cell r="T519">
            <v>19.86</v>
          </cell>
          <cell r="U519">
            <v>19.86</v>
          </cell>
          <cell r="V519">
            <v>0.38095238095238093</v>
          </cell>
          <cell r="W519">
            <v>0.33333333333333331</v>
          </cell>
          <cell r="X519">
            <v>0.2857142857142857</v>
          </cell>
          <cell r="Y519">
            <v>118</v>
          </cell>
        </row>
        <row r="520">
          <cell r="A520" t="str">
            <v>2023-Mazatlán</v>
          </cell>
          <cell r="B520" t="str">
            <v>2023-Tigres</v>
          </cell>
          <cell r="C520">
            <v>2023</v>
          </cell>
          <cell r="D520" t="str">
            <v>Mazatlán</v>
          </cell>
          <cell r="E520">
            <v>2</v>
          </cell>
          <cell r="F520">
            <v>3</v>
          </cell>
          <cell r="G520" t="str">
            <v>Tigres</v>
          </cell>
          <cell r="H520">
            <v>35.049999999999997</v>
          </cell>
          <cell r="I520">
            <v>3.5</v>
          </cell>
          <cell r="J520">
            <v>10.51</v>
          </cell>
          <cell r="K520">
            <v>10.51</v>
          </cell>
          <cell r="L520">
            <v>10.51</v>
          </cell>
          <cell r="M520">
            <v>0.29411764705882354</v>
          </cell>
          <cell r="N520">
            <v>0.47058823529411764</v>
          </cell>
          <cell r="O520">
            <v>0.23529411764705882</v>
          </cell>
          <cell r="P520">
            <v>40</v>
          </cell>
          <cell r="Q520" t="str">
            <v>NULL</v>
          </cell>
          <cell r="R520" t="str">
            <v>NULL</v>
          </cell>
          <cell r="S520" t="str">
            <v>NULL</v>
          </cell>
          <cell r="T520" t="str">
            <v>NULL</v>
          </cell>
          <cell r="U520" t="str">
            <v>NULL</v>
          </cell>
          <cell r="V520">
            <v>0.3</v>
          </cell>
          <cell r="W520">
            <v>0.3</v>
          </cell>
          <cell r="X520">
            <v>0.4</v>
          </cell>
          <cell r="Y520">
            <v>107</v>
          </cell>
        </row>
        <row r="521">
          <cell r="A521" t="str">
            <v>2023-Tigres</v>
          </cell>
          <cell r="B521" t="str">
            <v>2023-Monterrey</v>
          </cell>
          <cell r="C521">
            <v>2023</v>
          </cell>
          <cell r="D521" t="str">
            <v>Tigres</v>
          </cell>
          <cell r="E521">
            <v>3</v>
          </cell>
          <cell r="F521">
            <v>0</v>
          </cell>
          <cell r="G521" t="str">
            <v>Monterrey</v>
          </cell>
          <cell r="H521">
            <v>67.599999999999994</v>
          </cell>
          <cell r="I521">
            <v>6.76</v>
          </cell>
          <cell r="J521">
            <v>20.28</v>
          </cell>
          <cell r="K521">
            <v>20.28</v>
          </cell>
          <cell r="L521">
            <v>20.28</v>
          </cell>
          <cell r="M521">
            <v>0.7</v>
          </cell>
          <cell r="N521">
            <v>0.25</v>
          </cell>
          <cell r="O521">
            <v>0.05</v>
          </cell>
          <cell r="P521">
            <v>107</v>
          </cell>
          <cell r="Q521">
            <v>88.1</v>
          </cell>
          <cell r="R521">
            <v>8.81</v>
          </cell>
          <cell r="S521">
            <v>26.43</v>
          </cell>
          <cell r="T521">
            <v>26.43</v>
          </cell>
          <cell r="U521">
            <v>26.43</v>
          </cell>
          <cell r="V521">
            <v>0.38095238095238093</v>
          </cell>
          <cell r="W521">
            <v>0.23809523809523808</v>
          </cell>
          <cell r="X521">
            <v>0.38095238095238093</v>
          </cell>
          <cell r="Y521">
            <v>118</v>
          </cell>
        </row>
        <row r="522">
          <cell r="A522" t="str">
            <v>2023-Atlas</v>
          </cell>
          <cell r="B522" t="str">
            <v>2023-Tigres</v>
          </cell>
          <cell r="C522">
            <v>2023</v>
          </cell>
          <cell r="D522" t="str">
            <v>Atlas</v>
          </cell>
          <cell r="E522">
            <v>2</v>
          </cell>
          <cell r="F522">
            <v>0</v>
          </cell>
          <cell r="G522" t="str">
            <v>Tigres</v>
          </cell>
          <cell r="H522">
            <v>30.7</v>
          </cell>
          <cell r="I522">
            <v>3.07</v>
          </cell>
          <cell r="J522">
            <v>9.2100000000000009</v>
          </cell>
          <cell r="K522">
            <v>9.2100000000000009</v>
          </cell>
          <cell r="L522">
            <v>9.2100000000000009</v>
          </cell>
          <cell r="M522" t="str">
            <v>NULL</v>
          </cell>
          <cell r="N522" t="str">
            <v>NULL</v>
          </cell>
          <cell r="O522" t="str">
            <v>NULL</v>
          </cell>
          <cell r="P522">
            <v>60</v>
          </cell>
          <cell r="Q522" t="str">
            <v>NULL</v>
          </cell>
          <cell r="R522" t="str">
            <v>NULL</v>
          </cell>
          <cell r="S522" t="str">
            <v>NULL</v>
          </cell>
          <cell r="T522" t="str">
            <v>NULL</v>
          </cell>
          <cell r="U522" t="str">
            <v>NULL</v>
          </cell>
          <cell r="V522">
            <v>0.3</v>
          </cell>
          <cell r="W522">
            <v>0.3</v>
          </cell>
          <cell r="X522">
            <v>0.4</v>
          </cell>
          <cell r="Y522">
            <v>107</v>
          </cell>
        </row>
        <row r="523">
          <cell r="A523" t="str">
            <v>2023-Tigres</v>
          </cell>
          <cell r="B523" t="str">
            <v>2023-Querétaro</v>
          </cell>
          <cell r="C523">
            <v>2023</v>
          </cell>
          <cell r="D523" t="str">
            <v>Tigres</v>
          </cell>
          <cell r="E523">
            <v>5</v>
          </cell>
          <cell r="F523">
            <v>0</v>
          </cell>
          <cell r="G523" t="str">
            <v>Querétaro</v>
          </cell>
          <cell r="H523">
            <v>67.599999999999994</v>
          </cell>
          <cell r="I523">
            <v>6.76</v>
          </cell>
          <cell r="J523">
            <v>20.28</v>
          </cell>
          <cell r="K523">
            <v>20.28</v>
          </cell>
          <cell r="L523">
            <v>20.28</v>
          </cell>
          <cell r="M523">
            <v>0.7</v>
          </cell>
          <cell r="N523">
            <v>0.25</v>
          </cell>
          <cell r="O523">
            <v>0.05</v>
          </cell>
          <cell r="P523">
            <v>107</v>
          </cell>
          <cell r="Q523" t="str">
            <v>NULL</v>
          </cell>
          <cell r="R523" t="str">
            <v>NULL</v>
          </cell>
          <cell r="S523" t="str">
            <v>NULL</v>
          </cell>
          <cell r="T523" t="str">
            <v>NULL</v>
          </cell>
          <cell r="U523" t="str">
            <v>NULL</v>
          </cell>
          <cell r="V523">
            <v>0.17647058823529413</v>
          </cell>
          <cell r="W523">
            <v>0.17647058823529413</v>
          </cell>
          <cell r="X523">
            <v>0.6470588235294118</v>
          </cell>
          <cell r="Y523">
            <v>64</v>
          </cell>
        </row>
        <row r="524">
          <cell r="A524" t="str">
            <v>2023-Tigres</v>
          </cell>
          <cell r="B524" t="str">
            <v>2023-Santos Laguna</v>
          </cell>
          <cell r="C524">
            <v>2023</v>
          </cell>
          <cell r="D524" t="str">
            <v>Tigres</v>
          </cell>
          <cell r="E524">
            <v>3</v>
          </cell>
          <cell r="F524">
            <v>2</v>
          </cell>
          <cell r="G524" t="str">
            <v>Santos Laguna</v>
          </cell>
          <cell r="H524">
            <v>67.599999999999994</v>
          </cell>
          <cell r="I524">
            <v>6.76</v>
          </cell>
          <cell r="J524">
            <v>20.28</v>
          </cell>
          <cell r="K524">
            <v>20.28</v>
          </cell>
          <cell r="L524">
            <v>20.28</v>
          </cell>
          <cell r="M524">
            <v>0.7</v>
          </cell>
          <cell r="N524">
            <v>0.25</v>
          </cell>
          <cell r="O524">
            <v>0.05</v>
          </cell>
          <cell r="P524">
            <v>107</v>
          </cell>
          <cell r="Q524" t="str">
            <v>NULL</v>
          </cell>
          <cell r="R524" t="str">
            <v>NULL</v>
          </cell>
          <cell r="S524" t="str">
            <v>NULL</v>
          </cell>
          <cell r="T524" t="str">
            <v>NULL</v>
          </cell>
          <cell r="U524" t="str">
            <v>NULL</v>
          </cell>
          <cell r="V524">
            <v>0</v>
          </cell>
          <cell r="W524">
            <v>0.11764705882352941</v>
          </cell>
          <cell r="X524">
            <v>0.88235294117647056</v>
          </cell>
          <cell r="Y524">
            <v>46</v>
          </cell>
        </row>
        <row r="525">
          <cell r="A525" t="str">
            <v>2023-Pumas</v>
          </cell>
          <cell r="B525" t="str">
            <v>2023-Tigres</v>
          </cell>
          <cell r="C525">
            <v>2023</v>
          </cell>
          <cell r="D525" t="str">
            <v>Pumas</v>
          </cell>
          <cell r="E525">
            <v>2</v>
          </cell>
          <cell r="F525">
            <v>1</v>
          </cell>
          <cell r="G525" t="str">
            <v>Tigres</v>
          </cell>
          <cell r="H525" t="str">
            <v>NULL</v>
          </cell>
          <cell r="I525" t="str">
            <v>NULL</v>
          </cell>
          <cell r="J525" t="str">
            <v>NULL</v>
          </cell>
          <cell r="K525" t="str">
            <v>NULL</v>
          </cell>
          <cell r="L525" t="str">
            <v>NULL</v>
          </cell>
          <cell r="M525">
            <v>0.5</v>
          </cell>
          <cell r="N525">
            <v>0.16666666666666666</v>
          </cell>
          <cell r="O525">
            <v>0.33333333333333331</v>
          </cell>
          <cell r="P525">
            <v>75</v>
          </cell>
          <cell r="Q525" t="str">
            <v>NULL</v>
          </cell>
          <cell r="R525" t="str">
            <v>NULL</v>
          </cell>
          <cell r="S525" t="str">
            <v>NULL</v>
          </cell>
          <cell r="T525" t="str">
            <v>NULL</v>
          </cell>
          <cell r="U525" t="str">
            <v>NULL</v>
          </cell>
          <cell r="V525">
            <v>0.3</v>
          </cell>
          <cell r="W525">
            <v>0.3</v>
          </cell>
          <cell r="X525">
            <v>0.4</v>
          </cell>
          <cell r="Y525">
            <v>107</v>
          </cell>
        </row>
        <row r="526">
          <cell r="A526" t="str">
            <v>2023-Necaxa</v>
          </cell>
          <cell r="B526" t="str">
            <v>2023-Tigres</v>
          </cell>
          <cell r="C526">
            <v>2023</v>
          </cell>
          <cell r="D526" t="str">
            <v>Necaxa</v>
          </cell>
          <cell r="E526">
            <v>0</v>
          </cell>
          <cell r="F526">
            <v>3</v>
          </cell>
          <cell r="G526" t="str">
            <v>Tigres</v>
          </cell>
          <cell r="H526">
            <v>40</v>
          </cell>
          <cell r="I526">
            <v>4</v>
          </cell>
          <cell r="J526">
            <v>12</v>
          </cell>
          <cell r="K526">
            <v>12</v>
          </cell>
          <cell r="L526">
            <v>12</v>
          </cell>
          <cell r="M526">
            <v>0.44444444444444442</v>
          </cell>
          <cell r="N526">
            <v>0.22222222222222221</v>
          </cell>
          <cell r="O526">
            <v>0.33333333333333331</v>
          </cell>
          <cell r="P526">
            <v>77</v>
          </cell>
          <cell r="Q526" t="str">
            <v>NULL</v>
          </cell>
          <cell r="R526" t="str">
            <v>NULL</v>
          </cell>
          <cell r="S526" t="str">
            <v>NULL</v>
          </cell>
          <cell r="T526" t="str">
            <v>NULL</v>
          </cell>
          <cell r="U526" t="str">
            <v>NULL</v>
          </cell>
          <cell r="V526">
            <v>0.3</v>
          </cell>
          <cell r="W526">
            <v>0.3</v>
          </cell>
          <cell r="X526">
            <v>0.4</v>
          </cell>
          <cell r="Y526">
            <v>107</v>
          </cell>
        </row>
        <row r="527">
          <cell r="A527" t="str">
            <v>2023-Tigres</v>
          </cell>
          <cell r="B527" t="str">
            <v>2023-León</v>
          </cell>
          <cell r="C527">
            <v>2023</v>
          </cell>
          <cell r="D527" t="str">
            <v>Tigres</v>
          </cell>
          <cell r="E527">
            <v>1</v>
          </cell>
          <cell r="F527">
            <v>0</v>
          </cell>
          <cell r="G527" t="str">
            <v>León</v>
          </cell>
          <cell r="H527">
            <v>67.599999999999994</v>
          </cell>
          <cell r="I527">
            <v>6.76</v>
          </cell>
          <cell r="J527">
            <v>20.28</v>
          </cell>
          <cell r="K527">
            <v>20.28</v>
          </cell>
          <cell r="L527">
            <v>20.28</v>
          </cell>
          <cell r="M527">
            <v>0.7</v>
          </cell>
          <cell r="N527">
            <v>0.25</v>
          </cell>
          <cell r="O527">
            <v>0.05</v>
          </cell>
          <cell r="P527">
            <v>107</v>
          </cell>
          <cell r="Q527">
            <v>41.5</v>
          </cell>
          <cell r="R527">
            <v>4.1500000000000004</v>
          </cell>
          <cell r="S527">
            <v>12.45</v>
          </cell>
          <cell r="T527">
            <v>12.45</v>
          </cell>
          <cell r="U527">
            <v>12.45</v>
          </cell>
          <cell r="V527">
            <v>0.27777777777777779</v>
          </cell>
          <cell r="W527">
            <v>0.27777777777777779</v>
          </cell>
          <cell r="X527">
            <v>0.44444444444444442</v>
          </cell>
          <cell r="Y527">
            <v>87</v>
          </cell>
        </row>
        <row r="528">
          <cell r="A528" t="str">
            <v>2023-Juarez</v>
          </cell>
          <cell r="B528" t="str">
            <v>2023-Tigres</v>
          </cell>
          <cell r="C528">
            <v>2023</v>
          </cell>
          <cell r="D528" t="str">
            <v>Juarez</v>
          </cell>
          <cell r="E528">
            <v>1</v>
          </cell>
          <cell r="F528">
            <v>1</v>
          </cell>
          <cell r="G528" t="str">
            <v>Tigres</v>
          </cell>
          <cell r="H528" t="str">
            <v>NULL</v>
          </cell>
          <cell r="I528" t="str">
            <v>NULL</v>
          </cell>
          <cell r="J528" t="str">
            <v>NULL</v>
          </cell>
          <cell r="K528" t="str">
            <v>NULL</v>
          </cell>
          <cell r="L528" t="str">
            <v>NULL</v>
          </cell>
          <cell r="M528">
            <v>0.27777777777777779</v>
          </cell>
          <cell r="N528">
            <v>0.33333333333333331</v>
          </cell>
          <cell r="O528">
            <v>0.3888888888888889</v>
          </cell>
          <cell r="P528">
            <v>55</v>
          </cell>
          <cell r="Q528" t="str">
            <v>NULL</v>
          </cell>
          <cell r="R528" t="str">
            <v>NULL</v>
          </cell>
          <cell r="S528" t="str">
            <v>NULL</v>
          </cell>
          <cell r="T528" t="str">
            <v>NULL</v>
          </cell>
          <cell r="U528" t="str">
            <v>NULL</v>
          </cell>
          <cell r="V528">
            <v>0.3</v>
          </cell>
          <cell r="W528">
            <v>0.3</v>
          </cell>
          <cell r="X528">
            <v>0.4</v>
          </cell>
          <cell r="Y528">
            <v>107</v>
          </cell>
        </row>
        <row r="529">
          <cell r="A529" t="str">
            <v>2023-Tigres</v>
          </cell>
          <cell r="B529" t="str">
            <v>2023-Puebla</v>
          </cell>
          <cell r="C529">
            <v>2023</v>
          </cell>
          <cell r="D529" t="str">
            <v>Tigres</v>
          </cell>
          <cell r="E529">
            <v>1</v>
          </cell>
          <cell r="F529">
            <v>1</v>
          </cell>
          <cell r="G529" t="str">
            <v>Puebla</v>
          </cell>
          <cell r="H529">
            <v>67.599999999999994</v>
          </cell>
          <cell r="I529">
            <v>6.76</v>
          </cell>
          <cell r="J529">
            <v>20.28</v>
          </cell>
          <cell r="K529">
            <v>20.28</v>
          </cell>
          <cell r="L529">
            <v>20.28</v>
          </cell>
          <cell r="M529">
            <v>0.7</v>
          </cell>
          <cell r="N529">
            <v>0.25</v>
          </cell>
          <cell r="O529">
            <v>0.05</v>
          </cell>
          <cell r="P529">
            <v>107</v>
          </cell>
          <cell r="Q529">
            <v>26.7</v>
          </cell>
          <cell r="R529">
            <v>2.67</v>
          </cell>
          <cell r="S529">
            <v>8.01</v>
          </cell>
          <cell r="T529">
            <v>8.01</v>
          </cell>
          <cell r="U529">
            <v>8.01</v>
          </cell>
          <cell r="V529">
            <v>0.11764705882352941</v>
          </cell>
          <cell r="W529">
            <v>0.17647058823529413</v>
          </cell>
          <cell r="X529">
            <v>0.70588235294117652</v>
          </cell>
          <cell r="Y529">
            <v>34</v>
          </cell>
        </row>
        <row r="530">
          <cell r="A530" t="str">
            <v>2024-Tigres</v>
          </cell>
          <cell r="B530" t="str">
            <v>2024-Xolos</v>
          </cell>
          <cell r="C530">
            <v>2024</v>
          </cell>
          <cell r="D530" t="str">
            <v>Tigres</v>
          </cell>
          <cell r="E530">
            <v>4</v>
          </cell>
          <cell r="F530">
            <v>1</v>
          </cell>
          <cell r="G530" t="str">
            <v>Xolos</v>
          </cell>
          <cell r="H530">
            <v>67</v>
          </cell>
          <cell r="I530">
            <v>6.7</v>
          </cell>
          <cell r="J530">
            <v>20.100000000000001</v>
          </cell>
          <cell r="K530">
            <v>20.100000000000001</v>
          </cell>
          <cell r="L530">
            <v>20.100000000000001</v>
          </cell>
          <cell r="M530">
            <v>0.7</v>
          </cell>
          <cell r="N530">
            <v>0.25</v>
          </cell>
          <cell r="O530">
            <v>0.05</v>
          </cell>
          <cell r="P530">
            <v>107</v>
          </cell>
          <cell r="Q530">
            <v>39.15</v>
          </cell>
          <cell r="R530">
            <v>3.92</v>
          </cell>
          <cell r="S530">
            <v>11.75</v>
          </cell>
          <cell r="T530">
            <v>11.75</v>
          </cell>
          <cell r="U530">
            <v>11.75</v>
          </cell>
          <cell r="V530">
            <v>0.27777777777777779</v>
          </cell>
          <cell r="W530">
            <v>0.22222222222222221</v>
          </cell>
          <cell r="X530">
            <v>0.5</v>
          </cell>
          <cell r="Y530">
            <v>49</v>
          </cell>
        </row>
        <row r="531">
          <cell r="A531" t="str">
            <v>2024-Xolos</v>
          </cell>
          <cell r="B531" t="str">
            <v>2024-Puebla</v>
          </cell>
          <cell r="C531">
            <v>2024</v>
          </cell>
          <cell r="D531" t="str">
            <v>Xolos</v>
          </cell>
          <cell r="E531">
            <v>3</v>
          </cell>
          <cell r="F531">
            <v>1</v>
          </cell>
          <cell r="G531" t="str">
            <v>Puebla</v>
          </cell>
          <cell r="H531" t="str">
            <v>NULL</v>
          </cell>
          <cell r="I531" t="str">
            <v>NULL</v>
          </cell>
          <cell r="J531" t="str">
            <v>NULL</v>
          </cell>
          <cell r="K531" t="str">
            <v>NULL</v>
          </cell>
          <cell r="L531" t="str">
            <v>NULL</v>
          </cell>
          <cell r="M531">
            <v>0.55000000000000004</v>
          </cell>
          <cell r="N531">
            <v>0.15</v>
          </cell>
          <cell r="O531">
            <v>0.3</v>
          </cell>
          <cell r="P531">
            <v>49</v>
          </cell>
          <cell r="Q531">
            <v>24.1</v>
          </cell>
          <cell r="R531">
            <v>2.41</v>
          </cell>
          <cell r="S531">
            <v>7.23</v>
          </cell>
          <cell r="T531">
            <v>7.23</v>
          </cell>
          <cell r="U531">
            <v>7.23</v>
          </cell>
          <cell r="V531">
            <v>0.11764705882352941</v>
          </cell>
          <cell r="W531">
            <v>0.17647058823529413</v>
          </cell>
          <cell r="X531">
            <v>0.70588235294117652</v>
          </cell>
          <cell r="Y531">
            <v>34</v>
          </cell>
        </row>
        <row r="532">
          <cell r="A532" t="str">
            <v>2024-Juarez</v>
          </cell>
          <cell r="B532" t="str">
            <v>2024-Xolos</v>
          </cell>
          <cell r="C532">
            <v>2024</v>
          </cell>
          <cell r="D532" t="str">
            <v>Juarez</v>
          </cell>
          <cell r="E532">
            <v>0</v>
          </cell>
          <cell r="F532">
            <v>1</v>
          </cell>
          <cell r="G532" t="str">
            <v>Xolos</v>
          </cell>
          <cell r="H532" t="str">
            <v>NULL</v>
          </cell>
          <cell r="I532" t="str">
            <v>NULL</v>
          </cell>
          <cell r="J532" t="str">
            <v>NULL</v>
          </cell>
          <cell r="K532" t="str">
            <v>NULL</v>
          </cell>
          <cell r="L532" t="str">
            <v>NULL</v>
          </cell>
          <cell r="M532">
            <v>0.27777777777777779</v>
          </cell>
          <cell r="N532">
            <v>0.33333333333333331</v>
          </cell>
          <cell r="O532">
            <v>0.3888888888888889</v>
          </cell>
          <cell r="P532">
            <v>55</v>
          </cell>
          <cell r="Q532">
            <v>39.15</v>
          </cell>
          <cell r="R532">
            <v>3.92</v>
          </cell>
          <cell r="S532">
            <v>11.75</v>
          </cell>
          <cell r="T532">
            <v>11.75</v>
          </cell>
          <cell r="U532">
            <v>11.75</v>
          </cell>
          <cell r="V532">
            <v>0.27777777777777779</v>
          </cell>
          <cell r="W532">
            <v>0.22222222222222221</v>
          </cell>
          <cell r="X532">
            <v>0.5</v>
          </cell>
          <cell r="Y532">
            <v>49</v>
          </cell>
        </row>
        <row r="533">
          <cell r="A533" t="str">
            <v>2024-Xolos</v>
          </cell>
          <cell r="B533" t="str">
            <v>2024-Necaxa</v>
          </cell>
          <cell r="C533">
            <v>2024</v>
          </cell>
          <cell r="D533" t="str">
            <v>Xolos</v>
          </cell>
          <cell r="E533">
            <v>2</v>
          </cell>
          <cell r="F533">
            <v>3</v>
          </cell>
          <cell r="G533" t="str">
            <v>Necaxa</v>
          </cell>
          <cell r="H533" t="str">
            <v>NULL</v>
          </cell>
          <cell r="I533" t="str">
            <v>NULL</v>
          </cell>
          <cell r="J533" t="str">
            <v>NULL</v>
          </cell>
          <cell r="K533" t="str">
            <v>NULL</v>
          </cell>
          <cell r="L533" t="str">
            <v>NULL</v>
          </cell>
          <cell r="M533">
            <v>0.55000000000000004</v>
          </cell>
          <cell r="N533">
            <v>0.15</v>
          </cell>
          <cell r="O533">
            <v>0.3</v>
          </cell>
          <cell r="P533">
            <v>49</v>
          </cell>
          <cell r="Q533">
            <v>38.5</v>
          </cell>
          <cell r="R533">
            <v>3.85</v>
          </cell>
          <cell r="S533">
            <v>11.55</v>
          </cell>
          <cell r="T533">
            <v>11.55</v>
          </cell>
          <cell r="U533">
            <v>11.55</v>
          </cell>
          <cell r="V533">
            <v>0.27777777777777779</v>
          </cell>
          <cell r="W533">
            <v>0.27777777777777779</v>
          </cell>
          <cell r="X533">
            <v>0.44444444444444442</v>
          </cell>
          <cell r="Y533">
            <v>77</v>
          </cell>
        </row>
        <row r="534">
          <cell r="A534" t="str">
            <v>2024-Mazatlán</v>
          </cell>
          <cell r="B534" t="str">
            <v>2024-Xolos</v>
          </cell>
          <cell r="C534">
            <v>2024</v>
          </cell>
          <cell r="D534" t="str">
            <v>Mazatlán</v>
          </cell>
          <cell r="E534">
            <v>2</v>
          </cell>
          <cell r="F534">
            <v>0</v>
          </cell>
          <cell r="G534" t="str">
            <v>Xolos</v>
          </cell>
          <cell r="H534">
            <v>31.45</v>
          </cell>
          <cell r="I534">
            <v>3.15</v>
          </cell>
          <cell r="J534">
            <v>9.44</v>
          </cell>
          <cell r="K534">
            <v>9.44</v>
          </cell>
          <cell r="L534">
            <v>9.44</v>
          </cell>
          <cell r="M534">
            <v>0.29411764705882354</v>
          </cell>
          <cell r="N534">
            <v>0.47058823529411764</v>
          </cell>
          <cell r="O534">
            <v>0.23529411764705882</v>
          </cell>
          <cell r="P534">
            <v>40</v>
          </cell>
          <cell r="Q534">
            <v>39.15</v>
          </cell>
          <cell r="R534">
            <v>3.92</v>
          </cell>
          <cell r="S534">
            <v>11.75</v>
          </cell>
          <cell r="T534">
            <v>11.75</v>
          </cell>
          <cell r="U534">
            <v>11.75</v>
          </cell>
          <cell r="V534">
            <v>0.27777777777777779</v>
          </cell>
          <cell r="W534">
            <v>0.22222222222222221</v>
          </cell>
          <cell r="X534">
            <v>0.5</v>
          </cell>
          <cell r="Y534">
            <v>49</v>
          </cell>
        </row>
        <row r="535">
          <cell r="A535" t="str">
            <v>2024-Xolos</v>
          </cell>
          <cell r="B535" t="str">
            <v>2024-Santos Laguna</v>
          </cell>
          <cell r="C535">
            <v>2024</v>
          </cell>
          <cell r="D535" t="str">
            <v>Xolos</v>
          </cell>
          <cell r="E535">
            <v>2</v>
          </cell>
          <cell r="F535">
            <v>2</v>
          </cell>
          <cell r="G535" t="str">
            <v>Santos Laguna</v>
          </cell>
          <cell r="H535" t="str">
            <v>NULL</v>
          </cell>
          <cell r="I535" t="str">
            <v>NULL</v>
          </cell>
          <cell r="J535" t="str">
            <v>NULL</v>
          </cell>
          <cell r="K535" t="str">
            <v>NULL</v>
          </cell>
          <cell r="L535" t="str">
            <v>NULL</v>
          </cell>
          <cell r="M535">
            <v>0.55000000000000004</v>
          </cell>
          <cell r="N535">
            <v>0.15</v>
          </cell>
          <cell r="O535">
            <v>0.3</v>
          </cell>
          <cell r="P535">
            <v>49</v>
          </cell>
          <cell r="Q535" t="str">
            <v>NULL</v>
          </cell>
          <cell r="R535" t="str">
            <v>NULL</v>
          </cell>
          <cell r="S535" t="str">
            <v>NULL</v>
          </cell>
          <cell r="T535" t="str">
            <v>NULL</v>
          </cell>
          <cell r="U535" t="str">
            <v>NULL</v>
          </cell>
          <cell r="V535">
            <v>0</v>
          </cell>
          <cell r="W535">
            <v>0.11764705882352941</v>
          </cell>
          <cell r="X535">
            <v>0.88235294117647056</v>
          </cell>
          <cell r="Y535">
            <v>46</v>
          </cell>
        </row>
        <row r="536">
          <cell r="A536" t="str">
            <v>2024-Xolos</v>
          </cell>
          <cell r="B536" t="str">
            <v>2024-León</v>
          </cell>
          <cell r="C536">
            <v>2024</v>
          </cell>
          <cell r="D536" t="str">
            <v>Xolos</v>
          </cell>
          <cell r="E536">
            <v>1</v>
          </cell>
          <cell r="F536">
            <v>1</v>
          </cell>
          <cell r="G536" t="str">
            <v>León</v>
          </cell>
          <cell r="H536" t="str">
            <v>NULL</v>
          </cell>
          <cell r="I536" t="str">
            <v>NULL</v>
          </cell>
          <cell r="J536" t="str">
            <v>NULL</v>
          </cell>
          <cell r="K536" t="str">
            <v>NULL</v>
          </cell>
          <cell r="L536" t="str">
            <v>NULL</v>
          </cell>
          <cell r="M536">
            <v>0.55000000000000004</v>
          </cell>
          <cell r="N536">
            <v>0.15</v>
          </cell>
          <cell r="O536">
            <v>0.3</v>
          </cell>
          <cell r="P536">
            <v>49</v>
          </cell>
          <cell r="Q536">
            <v>29.55</v>
          </cell>
          <cell r="R536">
            <v>2.96</v>
          </cell>
          <cell r="S536">
            <v>8.8699999999999992</v>
          </cell>
          <cell r="T536">
            <v>8.8699999999999992</v>
          </cell>
          <cell r="U536">
            <v>8.8699999999999992</v>
          </cell>
          <cell r="V536">
            <v>0.27777777777777779</v>
          </cell>
          <cell r="W536">
            <v>0.27777777777777779</v>
          </cell>
          <cell r="X536">
            <v>0.44444444444444442</v>
          </cell>
          <cell r="Y536">
            <v>87</v>
          </cell>
        </row>
        <row r="537">
          <cell r="A537" t="str">
            <v>2024-Xolos</v>
          </cell>
          <cell r="B537" t="str">
            <v>2024-Monterrey</v>
          </cell>
          <cell r="C537">
            <v>2024</v>
          </cell>
          <cell r="D537" t="str">
            <v>Xolos</v>
          </cell>
          <cell r="E537">
            <v>1</v>
          </cell>
          <cell r="F537">
            <v>1</v>
          </cell>
          <cell r="G537" t="str">
            <v>Monterrey</v>
          </cell>
          <cell r="H537" t="str">
            <v>NULL</v>
          </cell>
          <cell r="I537" t="str">
            <v>NULL</v>
          </cell>
          <cell r="J537" t="str">
            <v>NULL</v>
          </cell>
          <cell r="K537" t="str">
            <v>NULL</v>
          </cell>
          <cell r="L537" t="str">
            <v>NULL</v>
          </cell>
          <cell r="M537">
            <v>0.55000000000000004</v>
          </cell>
          <cell r="N537">
            <v>0.15</v>
          </cell>
          <cell r="O537">
            <v>0.3</v>
          </cell>
          <cell r="P537">
            <v>49</v>
          </cell>
          <cell r="Q537">
            <v>88.6</v>
          </cell>
          <cell r="R537">
            <v>8.86</v>
          </cell>
          <cell r="S537">
            <v>26.58</v>
          </cell>
          <cell r="T537">
            <v>26.58</v>
          </cell>
          <cell r="U537">
            <v>26.58</v>
          </cell>
          <cell r="V537">
            <v>0.38095238095238093</v>
          </cell>
          <cell r="W537">
            <v>0.23809523809523808</v>
          </cell>
          <cell r="X537">
            <v>0.38095238095238093</v>
          </cell>
          <cell r="Y537">
            <v>118</v>
          </cell>
        </row>
        <row r="538">
          <cell r="A538" t="str">
            <v>2024-Toluca</v>
          </cell>
          <cell r="B538" t="str">
            <v>2024-Xolos</v>
          </cell>
          <cell r="C538">
            <v>2024</v>
          </cell>
          <cell r="D538" t="str">
            <v>Toluca</v>
          </cell>
          <cell r="E538">
            <v>2</v>
          </cell>
          <cell r="F538">
            <v>0</v>
          </cell>
          <cell r="G538" t="str">
            <v>Xolos</v>
          </cell>
          <cell r="H538">
            <v>77.45</v>
          </cell>
          <cell r="I538">
            <v>7.75</v>
          </cell>
          <cell r="J538">
            <v>23.24</v>
          </cell>
          <cell r="K538">
            <v>23.24</v>
          </cell>
          <cell r="L538">
            <v>23.24</v>
          </cell>
          <cell r="M538">
            <v>0.76190476190476186</v>
          </cell>
          <cell r="N538">
            <v>0.19047619047619047</v>
          </cell>
          <cell r="O538">
            <v>4.7619047619047616E-2</v>
          </cell>
          <cell r="P538">
            <v>118</v>
          </cell>
          <cell r="Q538">
            <v>39.15</v>
          </cell>
          <cell r="R538">
            <v>3.92</v>
          </cell>
          <cell r="S538">
            <v>11.75</v>
          </cell>
          <cell r="T538">
            <v>11.75</v>
          </cell>
          <cell r="U538">
            <v>11.75</v>
          </cell>
          <cell r="V538">
            <v>0.27777777777777779</v>
          </cell>
          <cell r="W538">
            <v>0.22222222222222221</v>
          </cell>
          <cell r="X538">
            <v>0.5</v>
          </cell>
          <cell r="Y538">
            <v>49</v>
          </cell>
        </row>
        <row r="539">
          <cell r="A539" t="str">
            <v>2024-Atlético San Luis</v>
          </cell>
          <cell r="B539" t="str">
            <v>2024-Xolos</v>
          </cell>
          <cell r="C539">
            <v>2024</v>
          </cell>
          <cell r="D539" t="str">
            <v>Atlético San Luis</v>
          </cell>
          <cell r="E539">
            <v>3</v>
          </cell>
          <cell r="F539">
            <v>3</v>
          </cell>
          <cell r="G539" t="str">
            <v>Xolos</v>
          </cell>
          <cell r="H539">
            <v>45.95</v>
          </cell>
          <cell r="I539">
            <v>4.5999999999999996</v>
          </cell>
          <cell r="J539">
            <v>13.84</v>
          </cell>
          <cell r="K539">
            <v>13.84</v>
          </cell>
          <cell r="L539">
            <v>13.84</v>
          </cell>
          <cell r="M539">
            <v>0.68421052631578949</v>
          </cell>
          <cell r="N539">
            <v>5.2631578947368418E-2</v>
          </cell>
          <cell r="O539">
            <v>0.26315789473684209</v>
          </cell>
          <cell r="P539">
            <v>59</v>
          </cell>
          <cell r="Q539">
            <v>39.15</v>
          </cell>
          <cell r="R539">
            <v>3.92</v>
          </cell>
          <cell r="S539">
            <v>11.75</v>
          </cell>
          <cell r="T539">
            <v>11.75</v>
          </cell>
          <cell r="U539">
            <v>11.75</v>
          </cell>
          <cell r="V539">
            <v>0.27777777777777779</v>
          </cell>
          <cell r="W539">
            <v>0.22222222222222221</v>
          </cell>
          <cell r="X539">
            <v>0.5</v>
          </cell>
          <cell r="Y539">
            <v>49</v>
          </cell>
        </row>
        <row r="540">
          <cell r="A540" t="str">
            <v>2024-Xolos</v>
          </cell>
          <cell r="B540" t="str">
            <v>2024-Querétaro</v>
          </cell>
          <cell r="C540">
            <v>2024</v>
          </cell>
          <cell r="D540" t="str">
            <v>Xolos</v>
          </cell>
          <cell r="E540">
            <v>1</v>
          </cell>
          <cell r="F540">
            <v>1</v>
          </cell>
          <cell r="G540" t="str">
            <v>Querétaro</v>
          </cell>
          <cell r="H540" t="str">
            <v>NULL</v>
          </cell>
          <cell r="I540" t="str">
            <v>NULL</v>
          </cell>
          <cell r="J540" t="str">
            <v>NULL</v>
          </cell>
          <cell r="K540" t="str">
            <v>NULL</v>
          </cell>
          <cell r="L540" t="str">
            <v>NULL</v>
          </cell>
          <cell r="M540">
            <v>0.55000000000000004</v>
          </cell>
          <cell r="N540">
            <v>0.15</v>
          </cell>
          <cell r="O540">
            <v>0.3</v>
          </cell>
          <cell r="P540">
            <v>49</v>
          </cell>
          <cell r="Q540" t="str">
            <v>NULL</v>
          </cell>
          <cell r="R540" t="str">
            <v>NULL</v>
          </cell>
          <cell r="S540" t="str">
            <v>NULL</v>
          </cell>
          <cell r="T540" t="str">
            <v>NULL</v>
          </cell>
          <cell r="U540" t="str">
            <v>NULL</v>
          </cell>
          <cell r="V540">
            <v>0.17647058823529413</v>
          </cell>
          <cell r="W540">
            <v>0.17647058823529413</v>
          </cell>
          <cell r="X540">
            <v>0.6470588235294118</v>
          </cell>
          <cell r="Y540">
            <v>64</v>
          </cell>
        </row>
        <row r="541">
          <cell r="A541" t="str">
            <v>2024-Pachuca</v>
          </cell>
          <cell r="B541" t="str">
            <v>2024-Xolos</v>
          </cell>
          <cell r="C541">
            <v>2024</v>
          </cell>
          <cell r="D541" t="str">
            <v>Pachuca</v>
          </cell>
          <cell r="E541">
            <v>3</v>
          </cell>
          <cell r="F541">
            <v>2</v>
          </cell>
          <cell r="G541" t="str">
            <v>Xolos</v>
          </cell>
          <cell r="H541">
            <v>56.6</v>
          </cell>
          <cell r="I541">
            <v>5.66</v>
          </cell>
          <cell r="J541">
            <v>16.98</v>
          </cell>
          <cell r="K541">
            <v>16.98</v>
          </cell>
          <cell r="L541">
            <v>16.98</v>
          </cell>
          <cell r="M541">
            <v>0.3888888888888889</v>
          </cell>
          <cell r="N541">
            <v>0.33333333333333331</v>
          </cell>
          <cell r="O541">
            <v>0.27777777777777779</v>
          </cell>
          <cell r="P541">
            <v>98</v>
          </cell>
          <cell r="Q541">
            <v>39.15</v>
          </cell>
          <cell r="R541">
            <v>3.92</v>
          </cell>
          <cell r="S541">
            <v>11.75</v>
          </cell>
          <cell r="T541">
            <v>11.75</v>
          </cell>
          <cell r="U541">
            <v>11.75</v>
          </cell>
          <cell r="V541">
            <v>0.27777777777777779</v>
          </cell>
          <cell r="W541">
            <v>0.22222222222222221</v>
          </cell>
          <cell r="X541">
            <v>0.5</v>
          </cell>
          <cell r="Y541">
            <v>49</v>
          </cell>
        </row>
        <row r="542">
          <cell r="A542" t="str">
            <v>2024-Cruz Azul</v>
          </cell>
          <cell r="B542" t="str">
            <v>2024-Xolos</v>
          </cell>
          <cell r="C542">
            <v>2024</v>
          </cell>
          <cell r="D542" t="str">
            <v>Cruz Azul</v>
          </cell>
          <cell r="E542">
            <v>1</v>
          </cell>
          <cell r="F542">
            <v>0</v>
          </cell>
          <cell r="G542" t="str">
            <v>Xolos</v>
          </cell>
          <cell r="H542">
            <v>78.849999999999994</v>
          </cell>
          <cell r="I542">
            <v>7.89</v>
          </cell>
          <cell r="J542">
            <v>23.66</v>
          </cell>
          <cell r="K542">
            <v>23.66</v>
          </cell>
          <cell r="L542">
            <v>23.66</v>
          </cell>
          <cell r="M542">
            <v>0.7142857142857143</v>
          </cell>
          <cell r="N542">
            <v>0.23809523809523808</v>
          </cell>
          <cell r="O542">
            <v>4.7619047619047616E-2</v>
          </cell>
          <cell r="P542">
            <v>107</v>
          </cell>
          <cell r="Q542">
            <v>39.15</v>
          </cell>
          <cell r="R542">
            <v>3.92</v>
          </cell>
          <cell r="S542">
            <v>11.75</v>
          </cell>
          <cell r="T542">
            <v>11.75</v>
          </cell>
          <cell r="U542">
            <v>11.75</v>
          </cell>
          <cell r="V542">
            <v>0.27777777777777779</v>
          </cell>
          <cell r="W542">
            <v>0.22222222222222221</v>
          </cell>
          <cell r="X542">
            <v>0.5</v>
          </cell>
          <cell r="Y542">
            <v>49</v>
          </cell>
        </row>
        <row r="543">
          <cell r="A543" t="str">
            <v>2024-Xolos</v>
          </cell>
          <cell r="B543" t="str">
            <v>2024-Chivas</v>
          </cell>
          <cell r="C543">
            <v>2024</v>
          </cell>
          <cell r="D543" t="str">
            <v>Xolos</v>
          </cell>
          <cell r="E543">
            <v>1</v>
          </cell>
          <cell r="F543">
            <v>1</v>
          </cell>
          <cell r="G543" t="str">
            <v>Chivas</v>
          </cell>
          <cell r="H543" t="str">
            <v>NULL</v>
          </cell>
          <cell r="I543" t="str">
            <v>NULL</v>
          </cell>
          <cell r="J543" t="str">
            <v>NULL</v>
          </cell>
          <cell r="K543" t="str">
            <v>NULL</v>
          </cell>
          <cell r="L543" t="str">
            <v>NULL</v>
          </cell>
          <cell r="M543">
            <v>0.55000000000000004</v>
          </cell>
          <cell r="N543">
            <v>0.15</v>
          </cell>
          <cell r="O543">
            <v>0.3</v>
          </cell>
          <cell r="P543">
            <v>49</v>
          </cell>
          <cell r="Q543" t="str">
            <v>NULL</v>
          </cell>
          <cell r="R543" t="str">
            <v>NULL</v>
          </cell>
          <cell r="S543" t="str">
            <v>NULL</v>
          </cell>
          <cell r="T543" t="str">
            <v>NULL</v>
          </cell>
          <cell r="U543" t="str">
            <v>NULL</v>
          </cell>
          <cell r="V543">
            <v>0.23529411764705882</v>
          </cell>
          <cell r="W543">
            <v>0.23529411764705882</v>
          </cell>
          <cell r="X543">
            <v>0.52941176470588236</v>
          </cell>
          <cell r="Y543">
            <v>99</v>
          </cell>
        </row>
        <row r="544">
          <cell r="A544" t="str">
            <v>2024-Atlas</v>
          </cell>
          <cell r="B544" t="str">
            <v>2024-Xolos</v>
          </cell>
          <cell r="C544">
            <v>2024</v>
          </cell>
          <cell r="D544" t="str">
            <v>Atlas</v>
          </cell>
          <cell r="E544">
            <v>0</v>
          </cell>
          <cell r="F544">
            <v>0</v>
          </cell>
          <cell r="G544" t="str">
            <v>Xolos</v>
          </cell>
          <cell r="H544">
            <v>28.95</v>
          </cell>
          <cell r="I544">
            <v>2.9</v>
          </cell>
          <cell r="J544">
            <v>8.68</v>
          </cell>
          <cell r="K544">
            <v>8.68</v>
          </cell>
          <cell r="L544">
            <v>8.68</v>
          </cell>
          <cell r="M544" t="str">
            <v>NULL</v>
          </cell>
          <cell r="N544" t="str">
            <v>NULL</v>
          </cell>
          <cell r="O544" t="str">
            <v>NULL</v>
          </cell>
          <cell r="P544">
            <v>60</v>
          </cell>
          <cell r="Q544">
            <v>39.15</v>
          </cell>
          <cell r="R544">
            <v>3.92</v>
          </cell>
          <cell r="S544">
            <v>11.75</v>
          </cell>
          <cell r="T544">
            <v>11.75</v>
          </cell>
          <cell r="U544">
            <v>11.75</v>
          </cell>
          <cell r="V544">
            <v>0.27777777777777779</v>
          </cell>
          <cell r="W544">
            <v>0.22222222222222221</v>
          </cell>
          <cell r="X544">
            <v>0.5</v>
          </cell>
          <cell r="Y544">
            <v>49</v>
          </cell>
        </row>
        <row r="545">
          <cell r="A545" t="str">
            <v>2024-Xolos</v>
          </cell>
          <cell r="B545" t="str">
            <v>2024-América</v>
          </cell>
          <cell r="C545">
            <v>2024</v>
          </cell>
          <cell r="D545" t="str">
            <v>Xolos</v>
          </cell>
          <cell r="E545">
            <v>0</v>
          </cell>
          <cell r="F545">
            <v>2</v>
          </cell>
          <cell r="G545" t="str">
            <v>América</v>
          </cell>
          <cell r="H545" t="str">
            <v>NULL</v>
          </cell>
          <cell r="I545" t="str">
            <v>NULL</v>
          </cell>
          <cell r="J545" t="str">
            <v>NULL</v>
          </cell>
          <cell r="K545" t="str">
            <v>NULL</v>
          </cell>
          <cell r="L545" t="str">
            <v>NULL</v>
          </cell>
          <cell r="M545">
            <v>0.55000000000000004</v>
          </cell>
          <cell r="N545">
            <v>0.15</v>
          </cell>
          <cell r="O545">
            <v>0.3</v>
          </cell>
          <cell r="P545">
            <v>49</v>
          </cell>
          <cell r="Q545">
            <v>92.45</v>
          </cell>
          <cell r="R545">
            <v>9.25</v>
          </cell>
          <cell r="S545">
            <v>27.73</v>
          </cell>
          <cell r="T545">
            <v>27.73</v>
          </cell>
          <cell r="U545">
            <v>27.73</v>
          </cell>
          <cell r="V545">
            <v>0.375</v>
          </cell>
          <cell r="W545">
            <v>0.29166666666666669</v>
          </cell>
          <cell r="X545">
            <v>0.33333333333333331</v>
          </cell>
          <cell r="Y545">
            <v>133</v>
          </cell>
        </row>
        <row r="546">
          <cell r="A546" t="str">
            <v>2023-Xolos</v>
          </cell>
          <cell r="B546" t="str">
            <v>2023-Pachuca</v>
          </cell>
          <cell r="C546">
            <v>2023</v>
          </cell>
          <cell r="D546" t="str">
            <v>Xolos</v>
          </cell>
          <cell r="E546">
            <v>2</v>
          </cell>
          <cell r="F546">
            <v>3</v>
          </cell>
          <cell r="G546" t="str">
            <v>Pachuca</v>
          </cell>
          <cell r="H546">
            <v>38.299999999999997</v>
          </cell>
          <cell r="I546">
            <v>3.83</v>
          </cell>
          <cell r="J546">
            <v>11.49</v>
          </cell>
          <cell r="K546">
            <v>11.49</v>
          </cell>
          <cell r="L546">
            <v>11.49</v>
          </cell>
          <cell r="M546">
            <v>0.55000000000000004</v>
          </cell>
          <cell r="N546">
            <v>0.15</v>
          </cell>
          <cell r="O546">
            <v>0.3</v>
          </cell>
          <cell r="P546">
            <v>49</v>
          </cell>
          <cell r="Q546">
            <v>51.25</v>
          </cell>
          <cell r="R546">
            <v>5.13</v>
          </cell>
          <cell r="S546">
            <v>15.38</v>
          </cell>
          <cell r="T546">
            <v>15.38</v>
          </cell>
          <cell r="U546">
            <v>15.38</v>
          </cell>
          <cell r="V546">
            <v>0.26315789473684209</v>
          </cell>
          <cell r="W546">
            <v>0.15789473684210525</v>
          </cell>
          <cell r="X546">
            <v>0.57894736842105265</v>
          </cell>
          <cell r="Y546">
            <v>98</v>
          </cell>
        </row>
        <row r="547">
          <cell r="A547" t="str">
            <v>2023-América</v>
          </cell>
          <cell r="B547" t="str">
            <v>2023-Xolos</v>
          </cell>
          <cell r="C547">
            <v>2023</v>
          </cell>
          <cell r="D547" t="str">
            <v>América</v>
          </cell>
          <cell r="E547">
            <v>3</v>
          </cell>
          <cell r="F547">
            <v>0</v>
          </cell>
          <cell r="G547" t="str">
            <v>Xolos</v>
          </cell>
          <cell r="H547">
            <v>84.2</v>
          </cell>
          <cell r="I547">
            <v>8.42</v>
          </cell>
          <cell r="J547">
            <v>25.26</v>
          </cell>
          <cell r="K547">
            <v>25.26</v>
          </cell>
          <cell r="L547">
            <v>25.26</v>
          </cell>
          <cell r="M547">
            <v>0.65217391304347827</v>
          </cell>
          <cell r="N547">
            <v>0.21739130434782608</v>
          </cell>
          <cell r="O547">
            <v>0.13043478260869565</v>
          </cell>
          <cell r="P547">
            <v>133</v>
          </cell>
          <cell r="Q547" t="str">
            <v>NULL</v>
          </cell>
          <cell r="R547" t="str">
            <v>NULL</v>
          </cell>
          <cell r="S547" t="str">
            <v>NULL</v>
          </cell>
          <cell r="T547" t="str">
            <v>NULL</v>
          </cell>
          <cell r="U547" t="str">
            <v>NULL</v>
          </cell>
          <cell r="V547">
            <v>0.27777777777777779</v>
          </cell>
          <cell r="W547">
            <v>0.22222222222222221</v>
          </cell>
          <cell r="X547">
            <v>0.5</v>
          </cell>
          <cell r="Y547">
            <v>49</v>
          </cell>
        </row>
        <row r="548">
          <cell r="A548" t="str">
            <v>2023-Xolos</v>
          </cell>
          <cell r="B548" t="str">
            <v>2023-Tigres</v>
          </cell>
          <cell r="C548">
            <v>2023</v>
          </cell>
          <cell r="D548" t="str">
            <v>Xolos</v>
          </cell>
          <cell r="E548">
            <v>2</v>
          </cell>
          <cell r="F548">
            <v>0</v>
          </cell>
          <cell r="G548" t="str">
            <v>Tigres</v>
          </cell>
          <cell r="H548">
            <v>38.299999999999997</v>
          </cell>
          <cell r="I548">
            <v>3.83</v>
          </cell>
          <cell r="J548">
            <v>11.49</v>
          </cell>
          <cell r="K548">
            <v>11.49</v>
          </cell>
          <cell r="L548">
            <v>11.49</v>
          </cell>
          <cell r="M548">
            <v>0.55000000000000004</v>
          </cell>
          <cell r="N548">
            <v>0.15</v>
          </cell>
          <cell r="O548">
            <v>0.3</v>
          </cell>
          <cell r="P548">
            <v>49</v>
          </cell>
          <cell r="Q548" t="str">
            <v>NULL</v>
          </cell>
          <cell r="R548" t="str">
            <v>NULL</v>
          </cell>
          <cell r="S548" t="str">
            <v>NULL</v>
          </cell>
          <cell r="T548" t="str">
            <v>NULL</v>
          </cell>
          <cell r="U548" t="str">
            <v>NULL</v>
          </cell>
          <cell r="V548">
            <v>0.3</v>
          </cell>
          <cell r="W548">
            <v>0.3</v>
          </cell>
          <cell r="X548">
            <v>0.4</v>
          </cell>
          <cell r="Y548">
            <v>107</v>
          </cell>
        </row>
        <row r="549">
          <cell r="A549" t="str">
            <v>2023-Xolos</v>
          </cell>
          <cell r="B549" t="str">
            <v>2023-Atlas</v>
          </cell>
          <cell r="C549">
            <v>2023</v>
          </cell>
          <cell r="D549" t="str">
            <v>Xolos</v>
          </cell>
          <cell r="E549">
            <v>2</v>
          </cell>
          <cell r="F549">
            <v>0</v>
          </cell>
          <cell r="G549" t="str">
            <v>Atlas</v>
          </cell>
          <cell r="H549">
            <v>38.299999999999997</v>
          </cell>
          <cell r="I549">
            <v>3.83</v>
          </cell>
          <cell r="J549">
            <v>11.49</v>
          </cell>
          <cell r="K549">
            <v>11.49</v>
          </cell>
          <cell r="L549">
            <v>11.49</v>
          </cell>
          <cell r="M549">
            <v>0.55000000000000004</v>
          </cell>
          <cell r="N549">
            <v>0.15</v>
          </cell>
          <cell r="O549">
            <v>0.3</v>
          </cell>
          <cell r="P549">
            <v>49</v>
          </cell>
          <cell r="Q549">
            <v>30.7</v>
          </cell>
          <cell r="R549">
            <v>3.07</v>
          </cell>
          <cell r="S549">
            <v>9.2100000000000009</v>
          </cell>
          <cell r="T549">
            <v>9.2100000000000009</v>
          </cell>
          <cell r="U549">
            <v>9.2100000000000009</v>
          </cell>
          <cell r="V549">
            <v>0.26315789473684209</v>
          </cell>
          <cell r="W549">
            <v>0.31578947368421051</v>
          </cell>
          <cell r="X549">
            <v>0.42105263157894735</v>
          </cell>
          <cell r="Y549">
            <v>60</v>
          </cell>
        </row>
        <row r="550">
          <cell r="A550" t="str">
            <v>2023-Monterrey</v>
          </cell>
          <cell r="B550" t="str">
            <v>2023-Xolos</v>
          </cell>
          <cell r="C550">
            <v>2023</v>
          </cell>
          <cell r="D550" t="str">
            <v>Monterrey</v>
          </cell>
          <cell r="E550">
            <v>3</v>
          </cell>
          <cell r="F550">
            <v>1</v>
          </cell>
          <cell r="G550" t="str">
            <v>Xolos</v>
          </cell>
          <cell r="H550">
            <v>88.1</v>
          </cell>
          <cell r="I550">
            <v>8.81</v>
          </cell>
          <cell r="J550">
            <v>26.43</v>
          </cell>
          <cell r="K550">
            <v>26.43</v>
          </cell>
          <cell r="L550">
            <v>26.43</v>
          </cell>
          <cell r="M550">
            <v>0.60869565217391308</v>
          </cell>
          <cell r="N550">
            <v>0.17391304347826086</v>
          </cell>
          <cell r="O550">
            <v>0.21739130434782608</v>
          </cell>
          <cell r="P550">
            <v>118</v>
          </cell>
          <cell r="Q550" t="str">
            <v>NULL</v>
          </cell>
          <cell r="R550" t="str">
            <v>NULL</v>
          </cell>
          <cell r="S550" t="str">
            <v>NULL</v>
          </cell>
          <cell r="T550" t="str">
            <v>NULL</v>
          </cell>
          <cell r="U550" t="str">
            <v>NULL</v>
          </cell>
          <cell r="V550">
            <v>0.27777777777777779</v>
          </cell>
          <cell r="W550">
            <v>0.22222222222222221</v>
          </cell>
          <cell r="X550">
            <v>0.5</v>
          </cell>
          <cell r="Y550">
            <v>49</v>
          </cell>
        </row>
        <row r="551">
          <cell r="A551" t="str">
            <v>2023-Xolos</v>
          </cell>
          <cell r="B551" t="str">
            <v>2023-Atlético San Luis</v>
          </cell>
          <cell r="C551">
            <v>2023</v>
          </cell>
          <cell r="D551" t="str">
            <v>Xolos</v>
          </cell>
          <cell r="E551">
            <v>2</v>
          </cell>
          <cell r="F551">
            <v>1</v>
          </cell>
          <cell r="G551" t="str">
            <v>Atlético San Luis</v>
          </cell>
          <cell r="H551">
            <v>38.299999999999997</v>
          </cell>
          <cell r="I551">
            <v>3.83</v>
          </cell>
          <cell r="J551">
            <v>11.49</v>
          </cell>
          <cell r="K551">
            <v>11.49</v>
          </cell>
          <cell r="L551">
            <v>11.49</v>
          </cell>
          <cell r="M551">
            <v>0.55000000000000004</v>
          </cell>
          <cell r="N551">
            <v>0.15</v>
          </cell>
          <cell r="O551">
            <v>0.3</v>
          </cell>
          <cell r="P551">
            <v>49</v>
          </cell>
          <cell r="Q551">
            <v>35.85</v>
          </cell>
          <cell r="R551">
            <v>3.59</v>
          </cell>
          <cell r="S551">
            <v>10.77</v>
          </cell>
          <cell r="T551">
            <v>10.77</v>
          </cell>
          <cell r="U551">
            <v>10.77</v>
          </cell>
          <cell r="V551">
            <v>0.21052631578947367</v>
          </cell>
          <cell r="W551">
            <v>0.15789473684210525</v>
          </cell>
          <cell r="X551">
            <v>0.63157894736842102</v>
          </cell>
          <cell r="Y551">
            <v>59</v>
          </cell>
        </row>
        <row r="552">
          <cell r="A552" t="str">
            <v>2023-Santos Laguna</v>
          </cell>
          <cell r="B552" t="str">
            <v>2023-Xolos</v>
          </cell>
          <cell r="C552">
            <v>2023</v>
          </cell>
          <cell r="D552" t="str">
            <v>Santos Laguna</v>
          </cell>
          <cell r="E552">
            <v>2</v>
          </cell>
          <cell r="F552">
            <v>1</v>
          </cell>
          <cell r="G552" t="str">
            <v>Xolos</v>
          </cell>
          <cell r="H552">
            <v>46</v>
          </cell>
          <cell r="I552">
            <v>4.5999999999999996</v>
          </cell>
          <cell r="J552">
            <v>13.8</v>
          </cell>
          <cell r="K552">
            <v>13.8</v>
          </cell>
          <cell r="L552">
            <v>13.8</v>
          </cell>
          <cell r="M552">
            <v>0.23529411764705882</v>
          </cell>
          <cell r="N552">
            <v>0.17647058823529413</v>
          </cell>
          <cell r="O552">
            <v>0.58823529411764708</v>
          </cell>
          <cell r="P552">
            <v>46</v>
          </cell>
          <cell r="Q552" t="str">
            <v>NULL</v>
          </cell>
          <cell r="R552" t="str">
            <v>NULL</v>
          </cell>
          <cell r="S552" t="str">
            <v>NULL</v>
          </cell>
          <cell r="T552" t="str">
            <v>NULL</v>
          </cell>
          <cell r="U552" t="str">
            <v>NULL</v>
          </cell>
          <cell r="V552">
            <v>0.27777777777777779</v>
          </cell>
          <cell r="W552">
            <v>0.22222222222222221</v>
          </cell>
          <cell r="X552">
            <v>0.5</v>
          </cell>
          <cell r="Y552">
            <v>49</v>
          </cell>
        </row>
        <row r="553">
          <cell r="A553" t="str">
            <v>2023-León</v>
          </cell>
          <cell r="B553" t="str">
            <v>2023-Xolos</v>
          </cell>
          <cell r="C553">
            <v>2023</v>
          </cell>
          <cell r="D553" t="str">
            <v>León</v>
          </cell>
          <cell r="E553">
            <v>1</v>
          </cell>
          <cell r="F553">
            <v>0</v>
          </cell>
          <cell r="G553" t="str">
            <v>Xolos</v>
          </cell>
          <cell r="H553">
            <v>41.5</v>
          </cell>
          <cell r="I553">
            <v>4.1500000000000004</v>
          </cell>
          <cell r="J553">
            <v>12.45</v>
          </cell>
          <cell r="K553">
            <v>12.45</v>
          </cell>
          <cell r="L553">
            <v>12.45</v>
          </cell>
          <cell r="M553">
            <v>0.3888888888888889</v>
          </cell>
          <cell r="N553">
            <v>0.3888888888888889</v>
          </cell>
          <cell r="O553">
            <v>0.22222222222222221</v>
          </cell>
          <cell r="P553">
            <v>87</v>
          </cell>
          <cell r="Q553" t="str">
            <v>NULL</v>
          </cell>
          <cell r="R553" t="str">
            <v>NULL</v>
          </cell>
          <cell r="S553" t="str">
            <v>NULL</v>
          </cell>
          <cell r="T553" t="str">
            <v>NULL</v>
          </cell>
          <cell r="U553" t="str">
            <v>NULL</v>
          </cell>
          <cell r="V553">
            <v>0.27777777777777779</v>
          </cell>
          <cell r="W553">
            <v>0.22222222222222221</v>
          </cell>
          <cell r="X553">
            <v>0.5</v>
          </cell>
          <cell r="Y553">
            <v>49</v>
          </cell>
        </row>
        <row r="554">
          <cell r="A554" t="str">
            <v>2023-Xolos</v>
          </cell>
          <cell r="B554" t="str">
            <v>2023-Toluca</v>
          </cell>
          <cell r="C554">
            <v>2023</v>
          </cell>
          <cell r="D554" t="str">
            <v>Xolos</v>
          </cell>
          <cell r="E554">
            <v>2</v>
          </cell>
          <cell r="F554">
            <v>1</v>
          </cell>
          <cell r="G554" t="str">
            <v>Toluca</v>
          </cell>
          <cell r="H554">
            <v>38.299999999999997</v>
          </cell>
          <cell r="I554">
            <v>3.83</v>
          </cell>
          <cell r="J554">
            <v>11.49</v>
          </cell>
          <cell r="K554">
            <v>11.49</v>
          </cell>
          <cell r="L554">
            <v>11.49</v>
          </cell>
          <cell r="M554">
            <v>0.55000000000000004</v>
          </cell>
          <cell r="N554">
            <v>0.15</v>
          </cell>
          <cell r="O554">
            <v>0.3</v>
          </cell>
          <cell r="P554">
            <v>49</v>
          </cell>
          <cell r="Q554">
            <v>66.2</v>
          </cell>
          <cell r="R554">
            <v>6.62</v>
          </cell>
          <cell r="S554">
            <v>19.86</v>
          </cell>
          <cell r="T554">
            <v>19.86</v>
          </cell>
          <cell r="U554">
            <v>19.86</v>
          </cell>
          <cell r="V554">
            <v>0.38095238095238093</v>
          </cell>
          <cell r="W554">
            <v>0.33333333333333331</v>
          </cell>
          <cell r="X554">
            <v>0.2857142857142857</v>
          </cell>
          <cell r="Y554">
            <v>118</v>
          </cell>
        </row>
        <row r="555">
          <cell r="A555" t="str">
            <v>2023-Xolos</v>
          </cell>
          <cell r="B555" t="str">
            <v>2023-Mazatlán</v>
          </cell>
          <cell r="C555">
            <v>2023</v>
          </cell>
          <cell r="D555" t="str">
            <v>Xolos</v>
          </cell>
          <cell r="E555">
            <v>1</v>
          </cell>
          <cell r="F555">
            <v>1</v>
          </cell>
          <cell r="G555" t="str">
            <v>Mazatlán</v>
          </cell>
          <cell r="H555">
            <v>38.299999999999997</v>
          </cell>
          <cell r="I555">
            <v>3.83</v>
          </cell>
          <cell r="J555">
            <v>11.49</v>
          </cell>
          <cell r="K555">
            <v>11.49</v>
          </cell>
          <cell r="L555">
            <v>11.49</v>
          </cell>
          <cell r="M555">
            <v>0.55000000000000004</v>
          </cell>
          <cell r="N555">
            <v>0.15</v>
          </cell>
          <cell r="O555">
            <v>0.3</v>
          </cell>
          <cell r="P555">
            <v>49</v>
          </cell>
          <cell r="Q555">
            <v>35.049999999999997</v>
          </cell>
          <cell r="R555">
            <v>3.5</v>
          </cell>
          <cell r="S555">
            <v>10.51</v>
          </cell>
          <cell r="T555">
            <v>10.51</v>
          </cell>
          <cell r="U555">
            <v>10.51</v>
          </cell>
          <cell r="V555">
            <v>5.8823529411764705E-2</v>
          </cell>
          <cell r="W555">
            <v>0.29411764705882354</v>
          </cell>
          <cell r="X555">
            <v>0.6470588235294118</v>
          </cell>
          <cell r="Y555">
            <v>40</v>
          </cell>
        </row>
        <row r="556">
          <cell r="A556" t="str">
            <v>2023-Chivas</v>
          </cell>
          <cell r="B556" t="str">
            <v>2023-Xolos</v>
          </cell>
          <cell r="C556">
            <v>2023</v>
          </cell>
          <cell r="D556" t="str">
            <v>Chivas</v>
          </cell>
          <cell r="E556">
            <v>1</v>
          </cell>
          <cell r="F556">
            <v>0</v>
          </cell>
          <cell r="G556" t="str">
            <v>Xolos</v>
          </cell>
          <cell r="H556">
            <v>69.7</v>
          </cell>
          <cell r="I556">
            <v>6.97</v>
          </cell>
          <cell r="J556">
            <v>20.91</v>
          </cell>
          <cell r="K556">
            <v>20.91</v>
          </cell>
          <cell r="L556">
            <v>20.91</v>
          </cell>
          <cell r="M556">
            <v>0.44444444444444442</v>
          </cell>
          <cell r="N556">
            <v>0.33333333333333331</v>
          </cell>
          <cell r="O556">
            <v>0.22222222222222221</v>
          </cell>
          <cell r="P556">
            <v>99</v>
          </cell>
          <cell r="Q556" t="str">
            <v>NULL</v>
          </cell>
          <cell r="R556" t="str">
            <v>NULL</v>
          </cell>
          <cell r="S556" t="str">
            <v>NULL</v>
          </cell>
          <cell r="T556" t="str">
            <v>NULL</v>
          </cell>
          <cell r="U556" t="str">
            <v>NULL</v>
          </cell>
          <cell r="V556">
            <v>0.27777777777777779</v>
          </cell>
          <cell r="W556">
            <v>0.22222222222222221</v>
          </cell>
          <cell r="X556">
            <v>0.5</v>
          </cell>
          <cell r="Y556">
            <v>49</v>
          </cell>
        </row>
        <row r="557">
          <cell r="A557" t="str">
            <v>2023-Xolos</v>
          </cell>
          <cell r="B557" t="str">
            <v>2023-Cruz Azul</v>
          </cell>
          <cell r="C557">
            <v>2023</v>
          </cell>
          <cell r="D557" t="str">
            <v>Xolos</v>
          </cell>
          <cell r="E557">
            <v>2</v>
          </cell>
          <cell r="F557">
            <v>1</v>
          </cell>
          <cell r="G557" t="str">
            <v>Cruz Azul</v>
          </cell>
          <cell r="H557">
            <v>38.299999999999997</v>
          </cell>
          <cell r="I557">
            <v>3.83</v>
          </cell>
          <cell r="J557">
            <v>11.49</v>
          </cell>
          <cell r="K557">
            <v>11.49</v>
          </cell>
          <cell r="L557">
            <v>11.49</v>
          </cell>
          <cell r="M557">
            <v>0.55000000000000004</v>
          </cell>
          <cell r="N557">
            <v>0.15</v>
          </cell>
          <cell r="O557">
            <v>0.3</v>
          </cell>
          <cell r="P557">
            <v>49</v>
          </cell>
          <cell r="Q557">
            <v>72.2</v>
          </cell>
          <cell r="R557">
            <v>7.22</v>
          </cell>
          <cell r="S557">
            <v>21.66</v>
          </cell>
          <cell r="T557">
            <v>21.66</v>
          </cell>
          <cell r="U557">
            <v>21.66</v>
          </cell>
          <cell r="V557">
            <v>0.52380952380952384</v>
          </cell>
          <cell r="W557">
            <v>0.23809523809523808</v>
          </cell>
          <cell r="X557">
            <v>0.23809523809523808</v>
          </cell>
          <cell r="Y557">
            <v>107</v>
          </cell>
        </row>
        <row r="558">
          <cell r="A558" t="str">
            <v>2023-Necaxa</v>
          </cell>
          <cell r="B558" t="str">
            <v>2023-Xolos</v>
          </cell>
          <cell r="C558">
            <v>2023</v>
          </cell>
          <cell r="D558" t="str">
            <v>Necaxa</v>
          </cell>
          <cell r="E558">
            <v>1</v>
          </cell>
          <cell r="F558">
            <v>1</v>
          </cell>
          <cell r="G558" t="str">
            <v>Xolos</v>
          </cell>
          <cell r="H558">
            <v>40</v>
          </cell>
          <cell r="I558">
            <v>4</v>
          </cell>
          <cell r="J558">
            <v>12</v>
          </cell>
          <cell r="K558">
            <v>12</v>
          </cell>
          <cell r="L558">
            <v>12</v>
          </cell>
          <cell r="M558">
            <v>0.44444444444444442</v>
          </cell>
          <cell r="N558">
            <v>0.22222222222222221</v>
          </cell>
          <cell r="O558">
            <v>0.33333333333333331</v>
          </cell>
          <cell r="P558">
            <v>77</v>
          </cell>
          <cell r="Q558" t="str">
            <v>NULL</v>
          </cell>
          <cell r="R558" t="str">
            <v>NULL</v>
          </cell>
          <cell r="S558" t="str">
            <v>NULL</v>
          </cell>
          <cell r="T558" t="str">
            <v>NULL</v>
          </cell>
          <cell r="U558" t="str">
            <v>NULL</v>
          </cell>
          <cell r="V558">
            <v>0.27777777777777779</v>
          </cell>
          <cell r="W558">
            <v>0.22222222222222221</v>
          </cell>
          <cell r="X558">
            <v>0.5</v>
          </cell>
          <cell r="Y558">
            <v>49</v>
          </cell>
        </row>
        <row r="559">
          <cell r="A559" t="str">
            <v>2023-Xolos</v>
          </cell>
          <cell r="B559" t="str">
            <v>2023-Pumas</v>
          </cell>
          <cell r="C559">
            <v>2023</v>
          </cell>
          <cell r="D559" t="str">
            <v>Xolos</v>
          </cell>
          <cell r="E559">
            <v>2</v>
          </cell>
          <cell r="F559">
            <v>3</v>
          </cell>
          <cell r="G559" t="str">
            <v>Pumas</v>
          </cell>
          <cell r="H559">
            <v>38.299999999999997</v>
          </cell>
          <cell r="I559">
            <v>3.83</v>
          </cell>
          <cell r="J559">
            <v>11.49</v>
          </cell>
          <cell r="K559">
            <v>11.49</v>
          </cell>
          <cell r="L559">
            <v>11.49</v>
          </cell>
          <cell r="M559">
            <v>0.55000000000000004</v>
          </cell>
          <cell r="N559">
            <v>0.15</v>
          </cell>
          <cell r="O559">
            <v>0.3</v>
          </cell>
          <cell r="P559">
            <v>49</v>
          </cell>
          <cell r="Q559" t="str">
            <v>NULL</v>
          </cell>
          <cell r="R559" t="str">
            <v>NULL</v>
          </cell>
          <cell r="S559" t="str">
            <v>NULL</v>
          </cell>
          <cell r="T559" t="str">
            <v>NULL</v>
          </cell>
          <cell r="U559" t="str">
            <v>NULL</v>
          </cell>
          <cell r="V559">
            <v>0.3</v>
          </cell>
          <cell r="W559">
            <v>0.25</v>
          </cell>
          <cell r="X559">
            <v>0.45</v>
          </cell>
          <cell r="Y559">
            <v>75</v>
          </cell>
        </row>
        <row r="560">
          <cell r="A560" t="str">
            <v>2024-Chivas</v>
          </cell>
          <cell r="B560" t="str">
            <v>2024-Toluca</v>
          </cell>
          <cell r="C560">
            <v>2024</v>
          </cell>
          <cell r="D560" t="str">
            <v>Chivas</v>
          </cell>
          <cell r="E560">
            <v>1</v>
          </cell>
          <cell r="F560">
            <v>0</v>
          </cell>
          <cell r="G560" t="str">
            <v>Toluca</v>
          </cell>
          <cell r="H560">
            <v>70.2</v>
          </cell>
          <cell r="I560">
            <v>7.02</v>
          </cell>
          <cell r="J560">
            <v>21.06</v>
          </cell>
          <cell r="K560">
            <v>21.06</v>
          </cell>
          <cell r="L560">
            <v>21.06</v>
          </cell>
          <cell r="M560">
            <v>0.44444444444444442</v>
          </cell>
          <cell r="N560">
            <v>0.33333333333333331</v>
          </cell>
          <cell r="O560">
            <v>0.22222222222222221</v>
          </cell>
          <cell r="P560">
            <v>99</v>
          </cell>
          <cell r="Q560">
            <v>77.45</v>
          </cell>
          <cell r="R560">
            <v>7.75</v>
          </cell>
          <cell r="S560">
            <v>23.24</v>
          </cell>
          <cell r="T560">
            <v>23.24</v>
          </cell>
          <cell r="U560">
            <v>23.24</v>
          </cell>
          <cell r="V560">
            <v>0.38095238095238093</v>
          </cell>
          <cell r="W560">
            <v>0.33333333333333331</v>
          </cell>
          <cell r="X560">
            <v>0.2857142857142857</v>
          </cell>
          <cell r="Y560">
            <v>118</v>
          </cell>
        </row>
        <row r="561">
          <cell r="A561" t="str">
            <v>2024-Toluca</v>
          </cell>
          <cell r="B561" t="str">
            <v>2024-Cruz Azul</v>
          </cell>
          <cell r="C561">
            <v>2024</v>
          </cell>
          <cell r="D561" t="str">
            <v>Toluca</v>
          </cell>
          <cell r="E561">
            <v>0</v>
          </cell>
          <cell r="F561">
            <v>1</v>
          </cell>
          <cell r="G561" t="str">
            <v>Cruz Azul</v>
          </cell>
          <cell r="H561">
            <v>77.45</v>
          </cell>
          <cell r="I561">
            <v>7.75</v>
          </cell>
          <cell r="J561">
            <v>23.24</v>
          </cell>
          <cell r="K561">
            <v>23.24</v>
          </cell>
          <cell r="L561">
            <v>23.24</v>
          </cell>
          <cell r="M561">
            <v>0.76190476190476186</v>
          </cell>
          <cell r="N561">
            <v>0.19047619047619047</v>
          </cell>
          <cell r="O561">
            <v>4.7619047619047616E-2</v>
          </cell>
          <cell r="P561">
            <v>118</v>
          </cell>
          <cell r="Q561">
            <v>78.849999999999994</v>
          </cell>
          <cell r="R561">
            <v>7.89</v>
          </cell>
          <cell r="S561">
            <v>23.66</v>
          </cell>
          <cell r="T561">
            <v>23.66</v>
          </cell>
          <cell r="U561">
            <v>23.66</v>
          </cell>
          <cell r="V561">
            <v>0.52380952380952384</v>
          </cell>
          <cell r="W561">
            <v>0.23809523809523808</v>
          </cell>
          <cell r="X561">
            <v>0.23809523809523808</v>
          </cell>
          <cell r="Y561">
            <v>107</v>
          </cell>
        </row>
        <row r="562">
          <cell r="A562" t="str">
            <v>2024-Atlético San Luis</v>
          </cell>
          <cell r="B562" t="str">
            <v>2024-Toluca</v>
          </cell>
          <cell r="C562">
            <v>2024</v>
          </cell>
          <cell r="D562" t="str">
            <v>Atlético San Luis</v>
          </cell>
          <cell r="E562">
            <v>1</v>
          </cell>
          <cell r="F562">
            <v>5</v>
          </cell>
          <cell r="G562" t="str">
            <v>Toluca</v>
          </cell>
          <cell r="H562">
            <v>45.95</v>
          </cell>
          <cell r="I562">
            <v>4.5999999999999996</v>
          </cell>
          <cell r="J562">
            <v>13.84</v>
          </cell>
          <cell r="K562">
            <v>13.84</v>
          </cell>
          <cell r="L562">
            <v>13.84</v>
          </cell>
          <cell r="M562">
            <v>0.68421052631578949</v>
          </cell>
          <cell r="N562">
            <v>5.2631578947368418E-2</v>
          </cell>
          <cell r="O562">
            <v>0.26315789473684209</v>
          </cell>
          <cell r="P562">
            <v>59</v>
          </cell>
          <cell r="Q562">
            <v>77.45</v>
          </cell>
          <cell r="R562">
            <v>7.75</v>
          </cell>
          <cell r="S562">
            <v>23.24</v>
          </cell>
          <cell r="T562">
            <v>23.24</v>
          </cell>
          <cell r="U562">
            <v>23.24</v>
          </cell>
          <cell r="V562">
            <v>0.38095238095238093</v>
          </cell>
          <cell r="W562">
            <v>0.33333333333333331</v>
          </cell>
          <cell r="X562">
            <v>0.2857142857142857</v>
          </cell>
          <cell r="Y562">
            <v>118</v>
          </cell>
        </row>
        <row r="563">
          <cell r="A563" t="str">
            <v>2024-América</v>
          </cell>
          <cell r="B563" t="str">
            <v>2024-Toluca</v>
          </cell>
          <cell r="C563">
            <v>2024</v>
          </cell>
          <cell r="D563" t="str">
            <v>América</v>
          </cell>
          <cell r="E563">
            <v>5</v>
          </cell>
          <cell r="F563">
            <v>1</v>
          </cell>
          <cell r="G563" t="str">
            <v>Toluca</v>
          </cell>
          <cell r="H563">
            <v>92.45</v>
          </cell>
          <cell r="I563">
            <v>9.25</v>
          </cell>
          <cell r="J563">
            <v>27.73</v>
          </cell>
          <cell r="K563">
            <v>27.73</v>
          </cell>
          <cell r="L563">
            <v>27.73</v>
          </cell>
          <cell r="M563">
            <v>0.65217391304347827</v>
          </cell>
          <cell r="N563">
            <v>0.21739130434782608</v>
          </cell>
          <cell r="O563">
            <v>0.13043478260869565</v>
          </cell>
          <cell r="P563">
            <v>133</v>
          </cell>
          <cell r="Q563">
            <v>77.45</v>
          </cell>
          <cell r="R563">
            <v>7.75</v>
          </cell>
          <cell r="S563">
            <v>23.24</v>
          </cell>
          <cell r="T563">
            <v>23.24</v>
          </cell>
          <cell r="U563">
            <v>23.24</v>
          </cell>
          <cell r="V563">
            <v>0.38095238095238093</v>
          </cell>
          <cell r="W563">
            <v>0.33333333333333331</v>
          </cell>
          <cell r="X563">
            <v>0.2857142857142857</v>
          </cell>
          <cell r="Y563">
            <v>118</v>
          </cell>
        </row>
        <row r="564">
          <cell r="A564" t="str">
            <v>2024-Toluca</v>
          </cell>
          <cell r="B564" t="str">
            <v>2024-Atlas</v>
          </cell>
          <cell r="C564">
            <v>2024</v>
          </cell>
          <cell r="D564" t="str">
            <v>Toluca</v>
          </cell>
          <cell r="E564">
            <v>4</v>
          </cell>
          <cell r="F564">
            <v>1</v>
          </cell>
          <cell r="G564" t="str">
            <v>Atlas</v>
          </cell>
          <cell r="H564">
            <v>77.45</v>
          </cell>
          <cell r="I564">
            <v>7.75</v>
          </cell>
          <cell r="J564">
            <v>23.24</v>
          </cell>
          <cell r="K564">
            <v>23.24</v>
          </cell>
          <cell r="L564">
            <v>23.24</v>
          </cell>
          <cell r="M564">
            <v>0.76190476190476186</v>
          </cell>
          <cell r="N564">
            <v>0.19047619047619047</v>
          </cell>
          <cell r="O564">
            <v>4.7619047619047616E-2</v>
          </cell>
          <cell r="P564">
            <v>118</v>
          </cell>
          <cell r="Q564">
            <v>28.95</v>
          </cell>
          <cell r="R564">
            <v>2.9</v>
          </cell>
          <cell r="S564">
            <v>8.68</v>
          </cell>
          <cell r="T564">
            <v>8.68</v>
          </cell>
          <cell r="U564">
            <v>8.68</v>
          </cell>
          <cell r="V564">
            <v>0.26315789473684209</v>
          </cell>
          <cell r="W564">
            <v>0.31578947368421051</v>
          </cell>
          <cell r="X564">
            <v>0.42105263157894735</v>
          </cell>
          <cell r="Y564">
            <v>60</v>
          </cell>
        </row>
        <row r="565">
          <cell r="A565" t="str">
            <v>2024-Pachuca</v>
          </cell>
          <cell r="B565" t="str">
            <v>2024-Toluca</v>
          </cell>
          <cell r="C565">
            <v>2024</v>
          </cell>
          <cell r="D565" t="str">
            <v>Pachuca</v>
          </cell>
          <cell r="E565">
            <v>2</v>
          </cell>
          <cell r="F565">
            <v>3</v>
          </cell>
          <cell r="G565" t="str">
            <v>Toluca</v>
          </cell>
          <cell r="H565">
            <v>56.6</v>
          </cell>
          <cell r="I565">
            <v>5.66</v>
          </cell>
          <cell r="J565">
            <v>16.98</v>
          </cell>
          <cell r="K565">
            <v>16.98</v>
          </cell>
          <cell r="L565">
            <v>16.98</v>
          </cell>
          <cell r="M565">
            <v>0.3888888888888889</v>
          </cell>
          <cell r="N565">
            <v>0.33333333333333331</v>
          </cell>
          <cell r="O565">
            <v>0.27777777777777779</v>
          </cell>
          <cell r="P565">
            <v>98</v>
          </cell>
          <cell r="Q565">
            <v>77.45</v>
          </cell>
          <cell r="R565">
            <v>7.75</v>
          </cell>
          <cell r="S565">
            <v>23.24</v>
          </cell>
          <cell r="T565">
            <v>23.24</v>
          </cell>
          <cell r="U565">
            <v>23.24</v>
          </cell>
          <cell r="V565">
            <v>0.38095238095238093</v>
          </cell>
          <cell r="W565">
            <v>0.33333333333333331</v>
          </cell>
          <cell r="X565">
            <v>0.2857142857142857</v>
          </cell>
          <cell r="Y565">
            <v>118</v>
          </cell>
        </row>
        <row r="566">
          <cell r="A566" t="str">
            <v>2024-Toluca</v>
          </cell>
          <cell r="B566" t="str">
            <v>2024-Pumas</v>
          </cell>
          <cell r="C566">
            <v>2024</v>
          </cell>
          <cell r="D566" t="str">
            <v>Toluca</v>
          </cell>
          <cell r="E566">
            <v>3</v>
          </cell>
          <cell r="F566">
            <v>0</v>
          </cell>
          <cell r="G566" t="str">
            <v>Pumas</v>
          </cell>
          <cell r="H566">
            <v>77.45</v>
          </cell>
          <cell r="I566">
            <v>7.75</v>
          </cell>
          <cell r="J566">
            <v>23.24</v>
          </cell>
          <cell r="K566">
            <v>23.24</v>
          </cell>
          <cell r="L566">
            <v>23.24</v>
          </cell>
          <cell r="M566">
            <v>0.76190476190476186</v>
          </cell>
          <cell r="N566">
            <v>0.19047619047619047</v>
          </cell>
          <cell r="O566">
            <v>4.7619047619047616E-2</v>
          </cell>
          <cell r="P566">
            <v>118</v>
          </cell>
          <cell r="Q566">
            <v>47.6</v>
          </cell>
          <cell r="R566">
            <v>4.76</v>
          </cell>
          <cell r="S566">
            <v>14.28</v>
          </cell>
          <cell r="T566">
            <v>14.28</v>
          </cell>
          <cell r="U566">
            <v>14.28</v>
          </cell>
          <cell r="V566">
            <v>0.3</v>
          </cell>
          <cell r="W566">
            <v>0.25</v>
          </cell>
          <cell r="X566">
            <v>0.45</v>
          </cell>
          <cell r="Y566">
            <v>75</v>
          </cell>
        </row>
        <row r="567">
          <cell r="A567" t="str">
            <v>2024-Juarez</v>
          </cell>
          <cell r="B567" t="str">
            <v>2024-Toluca</v>
          </cell>
          <cell r="C567">
            <v>2024</v>
          </cell>
          <cell r="D567" t="str">
            <v>Juarez</v>
          </cell>
          <cell r="E567">
            <v>1</v>
          </cell>
          <cell r="F567">
            <v>1</v>
          </cell>
          <cell r="G567" t="str">
            <v>Toluca</v>
          </cell>
          <cell r="H567" t="str">
            <v>NULL</v>
          </cell>
          <cell r="I567" t="str">
            <v>NULL</v>
          </cell>
          <cell r="J567" t="str">
            <v>NULL</v>
          </cell>
          <cell r="K567" t="str">
            <v>NULL</v>
          </cell>
          <cell r="L567" t="str">
            <v>NULL</v>
          </cell>
          <cell r="M567">
            <v>0.27777777777777779</v>
          </cell>
          <cell r="N567">
            <v>0.33333333333333331</v>
          </cell>
          <cell r="O567">
            <v>0.3888888888888889</v>
          </cell>
          <cell r="P567">
            <v>55</v>
          </cell>
          <cell r="Q567">
            <v>77.45</v>
          </cell>
          <cell r="R567">
            <v>7.75</v>
          </cell>
          <cell r="S567">
            <v>23.24</v>
          </cell>
          <cell r="T567">
            <v>23.24</v>
          </cell>
          <cell r="U567">
            <v>23.24</v>
          </cell>
          <cell r="V567">
            <v>0.38095238095238093</v>
          </cell>
          <cell r="W567">
            <v>0.33333333333333331</v>
          </cell>
          <cell r="X567">
            <v>0.2857142857142857</v>
          </cell>
          <cell r="Y567">
            <v>118</v>
          </cell>
        </row>
        <row r="568">
          <cell r="A568" t="str">
            <v>2024-Toluca</v>
          </cell>
          <cell r="B568" t="str">
            <v>2024-Tigres</v>
          </cell>
          <cell r="C568">
            <v>2024</v>
          </cell>
          <cell r="D568" t="str">
            <v>Toluca</v>
          </cell>
          <cell r="E568">
            <v>2</v>
          </cell>
          <cell r="F568">
            <v>1</v>
          </cell>
          <cell r="G568" t="str">
            <v>Tigres</v>
          </cell>
          <cell r="H568">
            <v>77.45</v>
          </cell>
          <cell r="I568">
            <v>7.75</v>
          </cell>
          <cell r="J568">
            <v>23.24</v>
          </cell>
          <cell r="K568">
            <v>23.24</v>
          </cell>
          <cell r="L568">
            <v>23.24</v>
          </cell>
          <cell r="M568">
            <v>0.76190476190476186</v>
          </cell>
          <cell r="N568">
            <v>0.19047619047619047</v>
          </cell>
          <cell r="O568">
            <v>4.7619047619047616E-2</v>
          </cell>
          <cell r="P568">
            <v>118</v>
          </cell>
          <cell r="Q568" t="str">
            <v>NULL</v>
          </cell>
          <cell r="R568" t="str">
            <v>NULL</v>
          </cell>
          <cell r="S568" t="str">
            <v>NULL</v>
          </cell>
          <cell r="T568" t="str">
            <v>NULL</v>
          </cell>
          <cell r="U568" t="str">
            <v>NULL</v>
          </cell>
          <cell r="V568">
            <v>0.3</v>
          </cell>
          <cell r="W568">
            <v>0.3</v>
          </cell>
          <cell r="X568">
            <v>0.4</v>
          </cell>
          <cell r="Y568">
            <v>107</v>
          </cell>
        </row>
        <row r="569">
          <cell r="A569" t="str">
            <v>2024-Toluca</v>
          </cell>
          <cell r="B569" t="str">
            <v>2024-Xolos</v>
          </cell>
          <cell r="C569">
            <v>2024</v>
          </cell>
          <cell r="D569" t="str">
            <v>Toluca</v>
          </cell>
          <cell r="E569">
            <v>2</v>
          </cell>
          <cell r="F569">
            <v>0</v>
          </cell>
          <cell r="G569" t="str">
            <v>Xolos</v>
          </cell>
          <cell r="H569">
            <v>77.45</v>
          </cell>
          <cell r="I569">
            <v>7.75</v>
          </cell>
          <cell r="J569">
            <v>23.24</v>
          </cell>
          <cell r="K569">
            <v>23.24</v>
          </cell>
          <cell r="L569">
            <v>23.24</v>
          </cell>
          <cell r="M569">
            <v>0.76190476190476186</v>
          </cell>
          <cell r="N569">
            <v>0.19047619047619047</v>
          </cell>
          <cell r="O569">
            <v>4.7619047619047616E-2</v>
          </cell>
          <cell r="P569">
            <v>118</v>
          </cell>
          <cell r="Q569">
            <v>39.15</v>
          </cell>
          <cell r="R569">
            <v>3.92</v>
          </cell>
          <cell r="S569">
            <v>11.75</v>
          </cell>
          <cell r="T569">
            <v>11.75</v>
          </cell>
          <cell r="U569">
            <v>11.75</v>
          </cell>
          <cell r="V569">
            <v>0.27777777777777779</v>
          </cell>
          <cell r="W569">
            <v>0.22222222222222221</v>
          </cell>
          <cell r="X569">
            <v>0.5</v>
          </cell>
          <cell r="Y569">
            <v>49</v>
          </cell>
        </row>
        <row r="570">
          <cell r="A570" t="str">
            <v>2024-Toluca</v>
          </cell>
          <cell r="B570" t="str">
            <v>2024-Santos Laguna</v>
          </cell>
          <cell r="C570">
            <v>2024</v>
          </cell>
          <cell r="D570" t="str">
            <v>Toluca</v>
          </cell>
          <cell r="E570">
            <v>1</v>
          </cell>
          <cell r="F570">
            <v>0</v>
          </cell>
          <cell r="G570" t="str">
            <v>Santos Laguna</v>
          </cell>
          <cell r="H570">
            <v>77.45</v>
          </cell>
          <cell r="I570">
            <v>7.75</v>
          </cell>
          <cell r="J570">
            <v>23.24</v>
          </cell>
          <cell r="K570">
            <v>23.24</v>
          </cell>
          <cell r="L570">
            <v>23.24</v>
          </cell>
          <cell r="M570">
            <v>0.76190476190476186</v>
          </cell>
          <cell r="N570">
            <v>0.19047619047619047</v>
          </cell>
          <cell r="O570">
            <v>4.7619047619047616E-2</v>
          </cell>
          <cell r="P570">
            <v>118</v>
          </cell>
          <cell r="Q570" t="str">
            <v>NULL</v>
          </cell>
          <cell r="R570" t="str">
            <v>NULL</v>
          </cell>
          <cell r="S570" t="str">
            <v>NULL</v>
          </cell>
          <cell r="T570" t="str">
            <v>NULL</v>
          </cell>
          <cell r="U570" t="str">
            <v>NULL</v>
          </cell>
          <cell r="V570">
            <v>0</v>
          </cell>
          <cell r="W570">
            <v>0.11764705882352941</v>
          </cell>
          <cell r="X570">
            <v>0.88235294117647056</v>
          </cell>
          <cell r="Y570">
            <v>46</v>
          </cell>
        </row>
        <row r="571">
          <cell r="A571" t="str">
            <v>2024-Monterrey</v>
          </cell>
          <cell r="B571" t="str">
            <v>2024-Toluca</v>
          </cell>
          <cell r="C571">
            <v>2024</v>
          </cell>
          <cell r="D571" t="str">
            <v>Monterrey</v>
          </cell>
          <cell r="E571">
            <v>0</v>
          </cell>
          <cell r="F571">
            <v>0</v>
          </cell>
          <cell r="G571" t="str">
            <v>Toluca</v>
          </cell>
          <cell r="H571">
            <v>88.6</v>
          </cell>
          <cell r="I571">
            <v>8.86</v>
          </cell>
          <cell r="J571">
            <v>26.58</v>
          </cell>
          <cell r="K571">
            <v>26.58</v>
          </cell>
          <cell r="L571">
            <v>26.58</v>
          </cell>
          <cell r="M571">
            <v>0.60869565217391308</v>
          </cell>
          <cell r="N571">
            <v>0.17391304347826086</v>
          </cell>
          <cell r="O571">
            <v>0.21739130434782608</v>
          </cell>
          <cell r="P571">
            <v>118</v>
          </cell>
          <cell r="Q571">
            <v>77.45</v>
          </cell>
          <cell r="R571">
            <v>7.75</v>
          </cell>
          <cell r="S571">
            <v>23.24</v>
          </cell>
          <cell r="T571">
            <v>23.24</v>
          </cell>
          <cell r="U571">
            <v>23.24</v>
          </cell>
          <cell r="V571">
            <v>0.38095238095238093</v>
          </cell>
          <cell r="W571">
            <v>0.33333333333333331</v>
          </cell>
          <cell r="X571">
            <v>0.2857142857142857</v>
          </cell>
          <cell r="Y571">
            <v>118</v>
          </cell>
        </row>
        <row r="572">
          <cell r="A572" t="str">
            <v>2024-Necaxa</v>
          </cell>
          <cell r="B572" t="str">
            <v>2024-Toluca</v>
          </cell>
          <cell r="C572">
            <v>2024</v>
          </cell>
          <cell r="D572" t="str">
            <v>Necaxa</v>
          </cell>
          <cell r="E572">
            <v>3</v>
          </cell>
          <cell r="F572">
            <v>3</v>
          </cell>
          <cell r="G572" t="str">
            <v>Toluca</v>
          </cell>
          <cell r="H572">
            <v>38.5</v>
          </cell>
          <cell r="I572">
            <v>3.85</v>
          </cell>
          <cell r="J572">
            <v>11.55</v>
          </cell>
          <cell r="K572">
            <v>11.55</v>
          </cell>
          <cell r="L572">
            <v>11.55</v>
          </cell>
          <cell r="M572">
            <v>0.44444444444444442</v>
          </cell>
          <cell r="N572">
            <v>0.22222222222222221</v>
          </cell>
          <cell r="O572">
            <v>0.33333333333333331</v>
          </cell>
          <cell r="P572">
            <v>77</v>
          </cell>
          <cell r="Q572">
            <v>77.45</v>
          </cell>
          <cell r="R572">
            <v>7.75</v>
          </cell>
          <cell r="S572">
            <v>23.24</v>
          </cell>
          <cell r="T572">
            <v>23.24</v>
          </cell>
          <cell r="U572">
            <v>23.24</v>
          </cell>
          <cell r="V572">
            <v>0.38095238095238093</v>
          </cell>
          <cell r="W572">
            <v>0.33333333333333331</v>
          </cell>
          <cell r="X572">
            <v>0.2857142857142857</v>
          </cell>
          <cell r="Y572">
            <v>118</v>
          </cell>
        </row>
        <row r="573">
          <cell r="A573" t="str">
            <v>2024-Toluca</v>
          </cell>
          <cell r="B573" t="str">
            <v>2024-León</v>
          </cell>
          <cell r="C573">
            <v>2024</v>
          </cell>
          <cell r="D573" t="str">
            <v>Toluca</v>
          </cell>
          <cell r="E573">
            <v>4</v>
          </cell>
          <cell r="F573">
            <v>1</v>
          </cell>
          <cell r="G573" t="str">
            <v>León</v>
          </cell>
          <cell r="H573">
            <v>77.45</v>
          </cell>
          <cell r="I573">
            <v>7.75</v>
          </cell>
          <cell r="J573">
            <v>23.24</v>
          </cell>
          <cell r="K573">
            <v>23.24</v>
          </cell>
          <cell r="L573">
            <v>23.24</v>
          </cell>
          <cell r="M573">
            <v>0.76190476190476186</v>
          </cell>
          <cell r="N573">
            <v>0.19047619047619047</v>
          </cell>
          <cell r="O573">
            <v>4.7619047619047616E-2</v>
          </cell>
          <cell r="P573">
            <v>118</v>
          </cell>
          <cell r="Q573">
            <v>29.55</v>
          </cell>
          <cell r="R573">
            <v>2.96</v>
          </cell>
          <cell r="S573">
            <v>8.8699999999999992</v>
          </cell>
          <cell r="T573">
            <v>8.8699999999999992</v>
          </cell>
          <cell r="U573">
            <v>8.8699999999999992</v>
          </cell>
          <cell r="V573">
            <v>0.27777777777777779</v>
          </cell>
          <cell r="W573">
            <v>0.27777777777777779</v>
          </cell>
          <cell r="X573">
            <v>0.44444444444444442</v>
          </cell>
          <cell r="Y573">
            <v>87</v>
          </cell>
        </row>
        <row r="574">
          <cell r="A574" t="str">
            <v>2024-Chivas</v>
          </cell>
          <cell r="B574" t="str">
            <v>2024-Toluca</v>
          </cell>
          <cell r="C574">
            <v>2024</v>
          </cell>
          <cell r="D574" t="str">
            <v>Chivas</v>
          </cell>
          <cell r="E574">
            <v>3</v>
          </cell>
          <cell r="F574">
            <v>2</v>
          </cell>
          <cell r="G574" t="str">
            <v>Toluca</v>
          </cell>
          <cell r="H574">
            <v>70.2</v>
          </cell>
          <cell r="I574">
            <v>7.02</v>
          </cell>
          <cell r="J574">
            <v>21.06</v>
          </cell>
          <cell r="K574">
            <v>21.06</v>
          </cell>
          <cell r="L574">
            <v>21.06</v>
          </cell>
          <cell r="M574">
            <v>0.44444444444444442</v>
          </cell>
          <cell r="N574">
            <v>0.33333333333333331</v>
          </cell>
          <cell r="O574">
            <v>0.22222222222222221</v>
          </cell>
          <cell r="P574">
            <v>99</v>
          </cell>
          <cell r="Q574">
            <v>77.45</v>
          </cell>
          <cell r="R574">
            <v>7.75</v>
          </cell>
          <cell r="S574">
            <v>23.24</v>
          </cell>
          <cell r="T574">
            <v>23.24</v>
          </cell>
          <cell r="U574">
            <v>23.24</v>
          </cell>
          <cell r="V574">
            <v>0.38095238095238093</v>
          </cell>
          <cell r="W574">
            <v>0.33333333333333331</v>
          </cell>
          <cell r="X574">
            <v>0.2857142857142857</v>
          </cell>
          <cell r="Y574">
            <v>118</v>
          </cell>
        </row>
        <row r="575">
          <cell r="A575" t="str">
            <v>2024-Puebla</v>
          </cell>
          <cell r="B575" t="str">
            <v>2024-Toluca</v>
          </cell>
          <cell r="C575">
            <v>2024</v>
          </cell>
          <cell r="D575" t="str">
            <v>Puebla</v>
          </cell>
          <cell r="E575">
            <v>1</v>
          </cell>
          <cell r="F575">
            <v>1</v>
          </cell>
          <cell r="G575" t="str">
            <v>Toluca</v>
          </cell>
          <cell r="H575">
            <v>24.1</v>
          </cell>
          <cell r="I575">
            <v>2.41</v>
          </cell>
          <cell r="J575">
            <v>7.23</v>
          </cell>
          <cell r="K575">
            <v>7.23</v>
          </cell>
          <cell r="L575">
            <v>7.23</v>
          </cell>
          <cell r="M575">
            <v>0.23529411764705882</v>
          </cell>
          <cell r="N575">
            <v>0.11764705882352941</v>
          </cell>
          <cell r="O575">
            <v>0.6470588235294118</v>
          </cell>
          <cell r="P575">
            <v>34</v>
          </cell>
          <cell r="Q575">
            <v>77.45</v>
          </cell>
          <cell r="R575">
            <v>7.75</v>
          </cell>
          <cell r="S575">
            <v>23.24</v>
          </cell>
          <cell r="T575">
            <v>23.24</v>
          </cell>
          <cell r="U575">
            <v>23.24</v>
          </cell>
          <cell r="V575">
            <v>0.38095238095238093</v>
          </cell>
          <cell r="W575">
            <v>0.33333333333333331</v>
          </cell>
          <cell r="X575">
            <v>0.2857142857142857</v>
          </cell>
          <cell r="Y575">
            <v>118</v>
          </cell>
        </row>
        <row r="576">
          <cell r="A576" t="str">
            <v>2024-Toluca</v>
          </cell>
          <cell r="B576" t="str">
            <v>2024-Mazatlán</v>
          </cell>
          <cell r="C576">
            <v>2024</v>
          </cell>
          <cell r="D576" t="str">
            <v>Toluca</v>
          </cell>
          <cell r="E576">
            <v>4</v>
          </cell>
          <cell r="F576">
            <v>1</v>
          </cell>
          <cell r="G576" t="str">
            <v>Mazatlán</v>
          </cell>
          <cell r="H576">
            <v>77.45</v>
          </cell>
          <cell r="I576">
            <v>7.75</v>
          </cell>
          <cell r="J576">
            <v>23.24</v>
          </cell>
          <cell r="K576">
            <v>23.24</v>
          </cell>
          <cell r="L576">
            <v>23.24</v>
          </cell>
          <cell r="M576">
            <v>0.76190476190476186</v>
          </cell>
          <cell r="N576">
            <v>0.19047619047619047</v>
          </cell>
          <cell r="O576">
            <v>4.7619047619047616E-2</v>
          </cell>
          <cell r="P576">
            <v>118</v>
          </cell>
          <cell r="Q576">
            <v>31.45</v>
          </cell>
          <cell r="R576">
            <v>3.15</v>
          </cell>
          <cell r="S576">
            <v>9.44</v>
          </cell>
          <cell r="T576">
            <v>9.44</v>
          </cell>
          <cell r="U576">
            <v>9.44</v>
          </cell>
          <cell r="V576">
            <v>5.8823529411764705E-2</v>
          </cell>
          <cell r="W576">
            <v>0.29411764705882354</v>
          </cell>
          <cell r="X576">
            <v>0.6470588235294118</v>
          </cell>
          <cell r="Y576">
            <v>40</v>
          </cell>
        </row>
        <row r="577">
          <cell r="A577" t="str">
            <v>2024-Querétaro</v>
          </cell>
          <cell r="B577" t="str">
            <v>2024-Toluca</v>
          </cell>
          <cell r="C577">
            <v>2024</v>
          </cell>
          <cell r="D577" t="str">
            <v>Querétaro</v>
          </cell>
          <cell r="E577">
            <v>2</v>
          </cell>
          <cell r="F577">
            <v>2</v>
          </cell>
          <cell r="G577" t="str">
            <v>Toluca</v>
          </cell>
          <cell r="H577">
            <v>17.8</v>
          </cell>
          <cell r="I577">
            <v>1.78</v>
          </cell>
          <cell r="J577">
            <v>5.34</v>
          </cell>
          <cell r="K577">
            <v>5.34</v>
          </cell>
          <cell r="L577">
            <v>5.34</v>
          </cell>
          <cell r="M577">
            <v>0.35294117647058826</v>
          </cell>
          <cell r="N577">
            <v>0.11764705882352941</v>
          </cell>
          <cell r="O577">
            <v>0.52941176470588236</v>
          </cell>
          <cell r="P577">
            <v>64</v>
          </cell>
          <cell r="Q577">
            <v>77.45</v>
          </cell>
          <cell r="R577">
            <v>7.75</v>
          </cell>
          <cell r="S577">
            <v>23.24</v>
          </cell>
          <cell r="T577">
            <v>23.24</v>
          </cell>
          <cell r="U577">
            <v>23.24</v>
          </cell>
          <cell r="V577">
            <v>0.38095238095238093</v>
          </cell>
          <cell r="W577">
            <v>0.33333333333333331</v>
          </cell>
          <cell r="X577">
            <v>0.2857142857142857</v>
          </cell>
          <cell r="Y577">
            <v>118</v>
          </cell>
        </row>
        <row r="578">
          <cell r="A578" t="str">
            <v>2023-Mazatlán</v>
          </cell>
          <cell r="B578" t="str">
            <v>2023-Toluca</v>
          </cell>
          <cell r="C578">
            <v>2023</v>
          </cell>
          <cell r="D578" t="str">
            <v>Mazatlán</v>
          </cell>
          <cell r="E578">
            <v>1</v>
          </cell>
          <cell r="F578">
            <v>0</v>
          </cell>
          <cell r="G578" t="str">
            <v>Toluca</v>
          </cell>
          <cell r="H578">
            <v>35.049999999999997</v>
          </cell>
          <cell r="I578">
            <v>3.5</v>
          </cell>
          <cell r="J578">
            <v>10.51</v>
          </cell>
          <cell r="K578">
            <v>10.51</v>
          </cell>
          <cell r="L578">
            <v>10.51</v>
          </cell>
          <cell r="M578">
            <v>0.29411764705882354</v>
          </cell>
          <cell r="N578">
            <v>0.47058823529411764</v>
          </cell>
          <cell r="O578">
            <v>0.23529411764705882</v>
          </cell>
          <cell r="P578">
            <v>40</v>
          </cell>
          <cell r="Q578">
            <v>66.2</v>
          </cell>
          <cell r="R578">
            <v>6.62</v>
          </cell>
          <cell r="S578">
            <v>19.86</v>
          </cell>
          <cell r="T578">
            <v>19.86</v>
          </cell>
          <cell r="U578">
            <v>19.86</v>
          </cell>
          <cell r="V578">
            <v>0.38095238095238093</v>
          </cell>
          <cell r="W578">
            <v>0.33333333333333331</v>
          </cell>
          <cell r="X578">
            <v>0.2857142857142857</v>
          </cell>
          <cell r="Y578">
            <v>118</v>
          </cell>
        </row>
        <row r="579">
          <cell r="A579" t="str">
            <v>2023-Santos Laguna</v>
          </cell>
          <cell r="B579" t="str">
            <v>2023-Toluca</v>
          </cell>
          <cell r="C579">
            <v>2023</v>
          </cell>
          <cell r="D579" t="str">
            <v>Santos Laguna</v>
          </cell>
          <cell r="E579">
            <v>3</v>
          </cell>
          <cell r="F579">
            <v>1</v>
          </cell>
          <cell r="G579" t="str">
            <v>Toluca</v>
          </cell>
          <cell r="H579">
            <v>46</v>
          </cell>
          <cell r="I579">
            <v>4.5999999999999996</v>
          </cell>
          <cell r="J579">
            <v>13.8</v>
          </cell>
          <cell r="K579">
            <v>13.8</v>
          </cell>
          <cell r="L579">
            <v>13.8</v>
          </cell>
          <cell r="M579">
            <v>0.23529411764705882</v>
          </cell>
          <cell r="N579">
            <v>0.17647058823529413</v>
          </cell>
          <cell r="O579">
            <v>0.58823529411764708</v>
          </cell>
          <cell r="P579">
            <v>46</v>
          </cell>
          <cell r="Q579">
            <v>66.2</v>
          </cell>
          <cell r="R579">
            <v>6.62</v>
          </cell>
          <cell r="S579">
            <v>19.86</v>
          </cell>
          <cell r="T579">
            <v>19.86</v>
          </cell>
          <cell r="U579">
            <v>19.86</v>
          </cell>
          <cell r="V579">
            <v>0.38095238095238093</v>
          </cell>
          <cell r="W579">
            <v>0.33333333333333331</v>
          </cell>
          <cell r="X579">
            <v>0.2857142857142857</v>
          </cell>
          <cell r="Y579">
            <v>118</v>
          </cell>
        </row>
        <row r="580">
          <cell r="A580" t="str">
            <v>2023-Toluca</v>
          </cell>
          <cell r="B580" t="str">
            <v>2023-Puebla</v>
          </cell>
          <cell r="C580">
            <v>2023</v>
          </cell>
          <cell r="D580" t="str">
            <v>Toluca</v>
          </cell>
          <cell r="E580">
            <v>0</v>
          </cell>
          <cell r="F580">
            <v>1</v>
          </cell>
          <cell r="G580" t="str">
            <v>Puebla</v>
          </cell>
          <cell r="H580">
            <v>66.2</v>
          </cell>
          <cell r="I580">
            <v>6.62</v>
          </cell>
          <cell r="J580">
            <v>19.86</v>
          </cell>
          <cell r="K580">
            <v>19.86</v>
          </cell>
          <cell r="L580">
            <v>19.86</v>
          </cell>
          <cell r="M580">
            <v>0.76190476190476186</v>
          </cell>
          <cell r="N580">
            <v>0.19047619047619047</v>
          </cell>
          <cell r="O580">
            <v>4.7619047619047616E-2</v>
          </cell>
          <cell r="P580">
            <v>118</v>
          </cell>
          <cell r="Q580">
            <v>26.7</v>
          </cell>
          <cell r="R580">
            <v>2.67</v>
          </cell>
          <cell r="S580">
            <v>8.01</v>
          </cell>
          <cell r="T580">
            <v>8.01</v>
          </cell>
          <cell r="U580">
            <v>8.01</v>
          </cell>
          <cell r="V580">
            <v>0.11764705882352941</v>
          </cell>
          <cell r="W580">
            <v>0.17647058823529413</v>
          </cell>
          <cell r="X580">
            <v>0.70588235294117652</v>
          </cell>
          <cell r="Y580">
            <v>34</v>
          </cell>
        </row>
        <row r="581">
          <cell r="A581" t="str">
            <v>2023-Toluca</v>
          </cell>
          <cell r="B581" t="str">
            <v>2023-Atlético San Luis</v>
          </cell>
          <cell r="C581">
            <v>2023</v>
          </cell>
          <cell r="D581" t="str">
            <v>Toluca</v>
          </cell>
          <cell r="E581">
            <v>3</v>
          </cell>
          <cell r="F581">
            <v>1</v>
          </cell>
          <cell r="G581" t="str">
            <v>Atlético San Luis</v>
          </cell>
          <cell r="H581">
            <v>66.2</v>
          </cell>
          <cell r="I581">
            <v>6.62</v>
          </cell>
          <cell r="J581">
            <v>19.86</v>
          </cell>
          <cell r="K581">
            <v>19.86</v>
          </cell>
          <cell r="L581">
            <v>19.86</v>
          </cell>
          <cell r="M581">
            <v>0.76190476190476186</v>
          </cell>
          <cell r="N581">
            <v>0.19047619047619047</v>
          </cell>
          <cell r="O581">
            <v>4.7619047619047616E-2</v>
          </cell>
          <cell r="P581">
            <v>118</v>
          </cell>
          <cell r="Q581">
            <v>35.85</v>
          </cell>
          <cell r="R581">
            <v>3.59</v>
          </cell>
          <cell r="S581">
            <v>10.77</v>
          </cell>
          <cell r="T581">
            <v>10.77</v>
          </cell>
          <cell r="U581">
            <v>10.77</v>
          </cell>
          <cell r="V581">
            <v>0.21052631578947367</v>
          </cell>
          <cell r="W581">
            <v>0.15789473684210525</v>
          </cell>
          <cell r="X581">
            <v>0.63157894736842102</v>
          </cell>
          <cell r="Y581">
            <v>59</v>
          </cell>
        </row>
        <row r="582">
          <cell r="A582" t="str">
            <v>2023-León</v>
          </cell>
          <cell r="B582" t="str">
            <v>2023-Toluca</v>
          </cell>
          <cell r="C582">
            <v>2023</v>
          </cell>
          <cell r="D582" t="str">
            <v>León</v>
          </cell>
          <cell r="E582">
            <v>1</v>
          </cell>
          <cell r="F582">
            <v>0</v>
          </cell>
          <cell r="G582" t="str">
            <v>Toluca</v>
          </cell>
          <cell r="H582">
            <v>41.5</v>
          </cell>
          <cell r="I582">
            <v>4.1500000000000004</v>
          </cell>
          <cell r="J582">
            <v>12.45</v>
          </cell>
          <cell r="K582">
            <v>12.45</v>
          </cell>
          <cell r="L582">
            <v>12.45</v>
          </cell>
          <cell r="M582">
            <v>0.3888888888888889</v>
          </cell>
          <cell r="N582">
            <v>0.3888888888888889</v>
          </cell>
          <cell r="O582">
            <v>0.22222222222222221</v>
          </cell>
          <cell r="P582">
            <v>87</v>
          </cell>
          <cell r="Q582">
            <v>66.2</v>
          </cell>
          <cell r="R582">
            <v>6.62</v>
          </cell>
          <cell r="S582">
            <v>19.86</v>
          </cell>
          <cell r="T582">
            <v>19.86</v>
          </cell>
          <cell r="U582">
            <v>19.86</v>
          </cell>
          <cell r="V582">
            <v>0.38095238095238093</v>
          </cell>
          <cell r="W582">
            <v>0.33333333333333331</v>
          </cell>
          <cell r="X582">
            <v>0.2857142857142857</v>
          </cell>
          <cell r="Y582">
            <v>118</v>
          </cell>
        </row>
        <row r="583">
          <cell r="A583" t="str">
            <v>2023-Toluca</v>
          </cell>
          <cell r="B583" t="str">
            <v>2023-Querétaro</v>
          </cell>
          <cell r="C583">
            <v>2023</v>
          </cell>
          <cell r="D583" t="str">
            <v>Toluca</v>
          </cell>
          <cell r="E583">
            <v>3</v>
          </cell>
          <cell r="F583">
            <v>1</v>
          </cell>
          <cell r="G583" t="str">
            <v>Querétaro</v>
          </cell>
          <cell r="H583">
            <v>66.2</v>
          </cell>
          <cell r="I583">
            <v>6.62</v>
          </cell>
          <cell r="J583">
            <v>19.86</v>
          </cell>
          <cell r="K583">
            <v>19.86</v>
          </cell>
          <cell r="L583">
            <v>19.86</v>
          </cell>
          <cell r="M583">
            <v>0.76190476190476186</v>
          </cell>
          <cell r="N583">
            <v>0.19047619047619047</v>
          </cell>
          <cell r="O583">
            <v>4.7619047619047616E-2</v>
          </cell>
          <cell r="P583">
            <v>118</v>
          </cell>
          <cell r="Q583" t="str">
            <v>NULL</v>
          </cell>
          <cell r="R583" t="str">
            <v>NULL</v>
          </cell>
          <cell r="S583" t="str">
            <v>NULL</v>
          </cell>
          <cell r="T583" t="str">
            <v>NULL</v>
          </cell>
          <cell r="U583" t="str">
            <v>NULL</v>
          </cell>
          <cell r="V583">
            <v>0.17647058823529413</v>
          </cell>
          <cell r="W583">
            <v>0.17647058823529413</v>
          </cell>
          <cell r="X583">
            <v>0.6470588235294118</v>
          </cell>
          <cell r="Y583">
            <v>64</v>
          </cell>
        </row>
        <row r="584">
          <cell r="A584" t="str">
            <v>2023-Tigres</v>
          </cell>
          <cell r="B584" t="str">
            <v>2023-Toluca</v>
          </cell>
          <cell r="C584">
            <v>2023</v>
          </cell>
          <cell r="D584" t="str">
            <v>Tigres</v>
          </cell>
          <cell r="E584">
            <v>2</v>
          </cell>
          <cell r="F584">
            <v>2</v>
          </cell>
          <cell r="G584" t="str">
            <v>Toluca</v>
          </cell>
          <cell r="H584">
            <v>67.599999999999994</v>
          </cell>
          <cell r="I584">
            <v>6.76</v>
          </cell>
          <cell r="J584">
            <v>20.28</v>
          </cell>
          <cell r="K584">
            <v>20.28</v>
          </cell>
          <cell r="L584">
            <v>20.28</v>
          </cell>
          <cell r="M584">
            <v>0.7</v>
          </cell>
          <cell r="N584">
            <v>0.25</v>
          </cell>
          <cell r="O584">
            <v>0.05</v>
          </cell>
          <cell r="P584">
            <v>107</v>
          </cell>
          <cell r="Q584">
            <v>66.2</v>
          </cell>
          <cell r="R584">
            <v>6.62</v>
          </cell>
          <cell r="S584">
            <v>19.86</v>
          </cell>
          <cell r="T584">
            <v>19.86</v>
          </cell>
          <cell r="U584">
            <v>19.86</v>
          </cell>
          <cell r="V584">
            <v>0.38095238095238093</v>
          </cell>
          <cell r="W584">
            <v>0.33333333333333331</v>
          </cell>
          <cell r="X584">
            <v>0.2857142857142857</v>
          </cell>
          <cell r="Y584">
            <v>118</v>
          </cell>
        </row>
        <row r="585">
          <cell r="A585" t="str">
            <v>2023-Toluca</v>
          </cell>
          <cell r="B585" t="str">
            <v>2023-Chivas</v>
          </cell>
          <cell r="C585">
            <v>2023</v>
          </cell>
          <cell r="D585" t="str">
            <v>Toluca</v>
          </cell>
          <cell r="E585">
            <v>1</v>
          </cell>
          <cell r="F585">
            <v>1</v>
          </cell>
          <cell r="G585" t="str">
            <v>Chivas</v>
          </cell>
          <cell r="H585">
            <v>66.2</v>
          </cell>
          <cell r="I585">
            <v>6.62</v>
          </cell>
          <cell r="J585">
            <v>19.86</v>
          </cell>
          <cell r="K585">
            <v>19.86</v>
          </cell>
          <cell r="L585">
            <v>19.86</v>
          </cell>
          <cell r="M585">
            <v>0.76190476190476186</v>
          </cell>
          <cell r="N585">
            <v>0.19047619047619047</v>
          </cell>
          <cell r="O585">
            <v>4.7619047619047616E-2</v>
          </cell>
          <cell r="P585">
            <v>118</v>
          </cell>
          <cell r="Q585" t="str">
            <v>NULL</v>
          </cell>
          <cell r="R585" t="str">
            <v>NULL</v>
          </cell>
          <cell r="S585" t="str">
            <v>NULL</v>
          </cell>
          <cell r="T585" t="str">
            <v>NULL</v>
          </cell>
          <cell r="U585" t="str">
            <v>NULL</v>
          </cell>
          <cell r="V585">
            <v>0.23529411764705882</v>
          </cell>
          <cell r="W585">
            <v>0.23529411764705882</v>
          </cell>
          <cell r="X585">
            <v>0.52941176470588236</v>
          </cell>
          <cell r="Y585">
            <v>99</v>
          </cell>
        </row>
        <row r="586">
          <cell r="A586" t="str">
            <v>2023-Xolos</v>
          </cell>
          <cell r="B586" t="str">
            <v>2023-Toluca</v>
          </cell>
          <cell r="C586">
            <v>2023</v>
          </cell>
          <cell r="D586" t="str">
            <v>Xolos</v>
          </cell>
          <cell r="E586">
            <v>2</v>
          </cell>
          <cell r="F586">
            <v>1</v>
          </cell>
          <cell r="G586" t="str">
            <v>Toluca</v>
          </cell>
          <cell r="H586">
            <v>38.299999999999997</v>
          </cell>
          <cell r="I586">
            <v>3.83</v>
          </cell>
          <cell r="J586">
            <v>11.49</v>
          </cell>
          <cell r="K586">
            <v>11.49</v>
          </cell>
          <cell r="L586">
            <v>11.49</v>
          </cell>
          <cell r="M586">
            <v>0.55000000000000004</v>
          </cell>
          <cell r="N586">
            <v>0.15</v>
          </cell>
          <cell r="O586">
            <v>0.3</v>
          </cell>
          <cell r="P586">
            <v>49</v>
          </cell>
          <cell r="Q586">
            <v>66.2</v>
          </cell>
          <cell r="R586">
            <v>6.62</v>
          </cell>
          <cell r="S586">
            <v>19.86</v>
          </cell>
          <cell r="T586">
            <v>19.86</v>
          </cell>
          <cell r="U586">
            <v>19.86</v>
          </cell>
          <cell r="V586">
            <v>0.38095238095238093</v>
          </cell>
          <cell r="W586">
            <v>0.33333333333333331</v>
          </cell>
          <cell r="X586">
            <v>0.2857142857142857</v>
          </cell>
          <cell r="Y586">
            <v>118</v>
          </cell>
        </row>
        <row r="587">
          <cell r="A587" t="str">
            <v>2023-Toluca</v>
          </cell>
          <cell r="B587" t="str">
            <v>2023-Pachuca</v>
          </cell>
          <cell r="C587">
            <v>2023</v>
          </cell>
          <cell r="D587" t="str">
            <v>Toluca</v>
          </cell>
          <cell r="E587">
            <v>5</v>
          </cell>
          <cell r="F587">
            <v>0</v>
          </cell>
          <cell r="G587" t="str">
            <v>Pachuca</v>
          </cell>
          <cell r="H587">
            <v>66.2</v>
          </cell>
          <cell r="I587">
            <v>6.62</v>
          </cell>
          <cell r="J587">
            <v>19.86</v>
          </cell>
          <cell r="K587">
            <v>19.86</v>
          </cell>
          <cell r="L587">
            <v>19.86</v>
          </cell>
          <cell r="M587">
            <v>0.76190476190476186</v>
          </cell>
          <cell r="N587">
            <v>0.19047619047619047</v>
          </cell>
          <cell r="O587">
            <v>4.7619047619047616E-2</v>
          </cell>
          <cell r="P587">
            <v>118</v>
          </cell>
          <cell r="Q587">
            <v>51.25</v>
          </cell>
          <cell r="R587">
            <v>5.13</v>
          </cell>
          <cell r="S587">
            <v>15.38</v>
          </cell>
          <cell r="T587">
            <v>15.38</v>
          </cell>
          <cell r="U587">
            <v>15.38</v>
          </cell>
          <cell r="V587">
            <v>0.26315789473684209</v>
          </cell>
          <cell r="W587">
            <v>0.15789473684210525</v>
          </cell>
          <cell r="X587">
            <v>0.57894736842105265</v>
          </cell>
          <cell r="Y587">
            <v>98</v>
          </cell>
        </row>
        <row r="588">
          <cell r="A588" t="str">
            <v>2023-Toluca</v>
          </cell>
          <cell r="B588" t="str">
            <v>2023-Monterrey</v>
          </cell>
          <cell r="C588">
            <v>2023</v>
          </cell>
          <cell r="D588" t="str">
            <v>Toluca</v>
          </cell>
          <cell r="E588">
            <v>1</v>
          </cell>
          <cell r="F588">
            <v>0</v>
          </cell>
          <cell r="G588" t="str">
            <v>Monterrey</v>
          </cell>
          <cell r="H588">
            <v>66.2</v>
          </cell>
          <cell r="I588">
            <v>6.62</v>
          </cell>
          <cell r="J588">
            <v>19.86</v>
          </cell>
          <cell r="K588">
            <v>19.86</v>
          </cell>
          <cell r="L588">
            <v>19.86</v>
          </cell>
          <cell r="M588">
            <v>0.76190476190476186</v>
          </cell>
          <cell r="N588">
            <v>0.19047619047619047</v>
          </cell>
          <cell r="O588">
            <v>4.7619047619047616E-2</v>
          </cell>
          <cell r="P588">
            <v>118</v>
          </cell>
          <cell r="Q588">
            <v>88.1</v>
          </cell>
          <cell r="R588">
            <v>8.81</v>
          </cell>
          <cell r="S588">
            <v>26.43</v>
          </cell>
          <cell r="T588">
            <v>26.43</v>
          </cell>
          <cell r="U588">
            <v>26.43</v>
          </cell>
          <cell r="V588">
            <v>0.38095238095238093</v>
          </cell>
          <cell r="W588">
            <v>0.23809523809523808</v>
          </cell>
          <cell r="X588">
            <v>0.38095238095238093</v>
          </cell>
          <cell r="Y588">
            <v>118</v>
          </cell>
        </row>
        <row r="589">
          <cell r="A589" t="str">
            <v>2023-Atlas</v>
          </cell>
          <cell r="B589" t="str">
            <v>2023-Toluca</v>
          </cell>
          <cell r="C589">
            <v>2023</v>
          </cell>
          <cell r="D589" t="str">
            <v>Atlas</v>
          </cell>
          <cell r="E589">
            <v>0</v>
          </cell>
          <cell r="F589">
            <v>0</v>
          </cell>
          <cell r="G589" t="str">
            <v>Toluca</v>
          </cell>
          <cell r="H589">
            <v>30.7</v>
          </cell>
          <cell r="I589">
            <v>3.07</v>
          </cell>
          <cell r="J589">
            <v>9.2100000000000009</v>
          </cell>
          <cell r="K589">
            <v>9.2100000000000009</v>
          </cell>
          <cell r="L589">
            <v>9.2100000000000009</v>
          </cell>
          <cell r="M589" t="str">
            <v>NULL</v>
          </cell>
          <cell r="N589" t="str">
            <v>NULL</v>
          </cell>
          <cell r="O589" t="str">
            <v>NULL</v>
          </cell>
          <cell r="P589">
            <v>60</v>
          </cell>
          <cell r="Q589">
            <v>66.2</v>
          </cell>
          <cell r="R589">
            <v>6.62</v>
          </cell>
          <cell r="S589">
            <v>19.86</v>
          </cell>
          <cell r="T589">
            <v>19.86</v>
          </cell>
          <cell r="U589">
            <v>19.86</v>
          </cell>
          <cell r="V589">
            <v>0.38095238095238093</v>
          </cell>
          <cell r="W589">
            <v>0.33333333333333331</v>
          </cell>
          <cell r="X589">
            <v>0.2857142857142857</v>
          </cell>
          <cell r="Y589">
            <v>118</v>
          </cell>
        </row>
        <row r="590">
          <cell r="A590" t="str">
            <v>2023-Pumas</v>
          </cell>
          <cell r="B590" t="str">
            <v>2023-Toluca</v>
          </cell>
          <cell r="C590">
            <v>2023</v>
          </cell>
          <cell r="D590" t="str">
            <v>Pumas</v>
          </cell>
          <cell r="E590">
            <v>1</v>
          </cell>
          <cell r="F590">
            <v>1</v>
          </cell>
          <cell r="G590" t="str">
            <v>Toluca</v>
          </cell>
          <cell r="H590" t="str">
            <v>NULL</v>
          </cell>
          <cell r="I590" t="str">
            <v>NULL</v>
          </cell>
          <cell r="J590" t="str">
            <v>NULL</v>
          </cell>
          <cell r="K590" t="str">
            <v>NULL</v>
          </cell>
          <cell r="L590" t="str">
            <v>NULL</v>
          </cell>
          <cell r="M590">
            <v>0.5</v>
          </cell>
          <cell r="N590">
            <v>0.16666666666666666</v>
          </cell>
          <cell r="O590">
            <v>0.33333333333333331</v>
          </cell>
          <cell r="P590">
            <v>75</v>
          </cell>
          <cell r="Q590">
            <v>66.2</v>
          </cell>
          <cell r="R590">
            <v>6.62</v>
          </cell>
          <cell r="S590">
            <v>19.86</v>
          </cell>
          <cell r="T590">
            <v>19.86</v>
          </cell>
          <cell r="U590">
            <v>19.86</v>
          </cell>
          <cell r="V590">
            <v>0.38095238095238093</v>
          </cell>
          <cell r="W590">
            <v>0.33333333333333331</v>
          </cell>
          <cell r="X590">
            <v>0.2857142857142857</v>
          </cell>
          <cell r="Y590">
            <v>118</v>
          </cell>
        </row>
        <row r="591">
          <cell r="A591" t="str">
            <v>2023-Toluca</v>
          </cell>
          <cell r="B591" t="str">
            <v>2023-Necaxa</v>
          </cell>
          <cell r="C591">
            <v>2023</v>
          </cell>
          <cell r="D591" t="str">
            <v>Toluca</v>
          </cell>
          <cell r="E591">
            <v>0</v>
          </cell>
          <cell r="F591">
            <v>0</v>
          </cell>
          <cell r="G591" t="str">
            <v>Necaxa</v>
          </cell>
          <cell r="H591">
            <v>66.2</v>
          </cell>
          <cell r="I591">
            <v>6.62</v>
          </cell>
          <cell r="J591">
            <v>19.86</v>
          </cell>
          <cell r="K591">
            <v>19.86</v>
          </cell>
          <cell r="L591">
            <v>19.86</v>
          </cell>
          <cell r="M591">
            <v>0.76190476190476186</v>
          </cell>
          <cell r="N591">
            <v>0.19047619047619047</v>
          </cell>
          <cell r="O591">
            <v>4.7619047619047616E-2</v>
          </cell>
          <cell r="P591">
            <v>118</v>
          </cell>
          <cell r="Q591">
            <v>40</v>
          </cell>
          <cell r="R591">
            <v>4</v>
          </cell>
          <cell r="S591">
            <v>12</v>
          </cell>
          <cell r="T591">
            <v>12</v>
          </cell>
          <cell r="U591">
            <v>12</v>
          </cell>
          <cell r="V591">
            <v>0.27777777777777779</v>
          </cell>
          <cell r="W591">
            <v>0.27777777777777779</v>
          </cell>
          <cell r="X591">
            <v>0.44444444444444442</v>
          </cell>
          <cell r="Y591">
            <v>77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Views>
    <sheetView tabSelected="1" workbookViewId="0">
      <selection activeCell="D5" sqref="D5"/>
    </sheetView>
  </sheetViews>
  <sheetFormatPr baseColWidth="10" defaultRowHeight="14.4" x14ac:dyDescent="0.3"/>
  <sheetData>
    <row r="1" spans="1:26" ht="62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</row>
    <row r="2" spans="1:26" x14ac:dyDescent="0.3">
      <c r="A2" t="str">
        <f>C2&amp;"-"&amp;D2</f>
        <v>2024-Puebla</v>
      </c>
      <c r="B2" t="str">
        <f>C2&amp;"-"&amp;G2</f>
        <v>2024-Atlas</v>
      </c>
      <c r="C2">
        <v>2024</v>
      </c>
      <c r="D2" t="s">
        <v>33</v>
      </c>
      <c r="E2" t="s">
        <v>27</v>
      </c>
      <c r="F2" t="s">
        <v>27</v>
      </c>
      <c r="G2" t="s">
        <v>28</v>
      </c>
      <c r="H2">
        <f>VLOOKUP($A2,'[1]IA_database__entrenamiento _pru'!$A$2:$P$591,8,0)</f>
        <v>24.1</v>
      </c>
      <c r="I2">
        <f>VLOOKUP($A2,'[1]IA_database__entrenamiento _pru'!$A$2:$P$591,9,0)</f>
        <v>2.41</v>
      </c>
      <c r="J2">
        <f>VLOOKUP($A2,'[1]IA_database__entrenamiento _pru'!$A$2:$P$591,10,0)</f>
        <v>7.23</v>
      </c>
      <c r="K2">
        <f>VLOOKUP($A2,'[1]IA_database__entrenamiento _pru'!$A$2:$P$591,11,0)</f>
        <v>7.23</v>
      </c>
      <c r="L2">
        <f>VLOOKUP($A2,'[1]IA_database__entrenamiento _pru'!$A$2:$P$591,12,0)</f>
        <v>7.23</v>
      </c>
      <c r="M2">
        <f>VLOOKUP($A2,'[1]IA_database__entrenamiento _pru'!$A$2:$P$591,13,0)</f>
        <v>0.23529411764705882</v>
      </c>
      <c r="N2">
        <f>VLOOKUP($A2,'[1]IA_database__entrenamiento _pru'!$A$2:$P$591,14,0)</f>
        <v>0.11764705882352941</v>
      </c>
      <c r="O2">
        <f>VLOOKUP($A2,'[1]IA_database__entrenamiento _pru'!$A$2:$P$591,15,0)</f>
        <v>0.6470588235294118</v>
      </c>
      <c r="P2">
        <f>VLOOKUP($A2,'[1]IA_database__entrenamiento _pru'!$A$2:$P$591,16,0)</f>
        <v>34</v>
      </c>
      <c r="Q2">
        <f>VLOOKUP($B2,'[1]IA_database__entrenamiento _pru'!$B$1:$Y$592,16,0)</f>
        <v>28.95</v>
      </c>
      <c r="R2">
        <f>VLOOKUP($B2,'[1]IA_database__entrenamiento _pru'!$B$1:$Y$592,17,0)</f>
        <v>2.9</v>
      </c>
      <c r="S2">
        <f>VLOOKUP($B2,'[1]IA_database__entrenamiento _pru'!$B$1:$Y$592,18,0)</f>
        <v>8.68</v>
      </c>
      <c r="T2">
        <f>VLOOKUP($B2,'[1]IA_database__entrenamiento _pru'!$B$1:$Y$592,19,0)</f>
        <v>8.68</v>
      </c>
      <c r="U2">
        <f>VLOOKUP($B2,'[1]IA_database__entrenamiento _pru'!$B$1:$Y$592,20,0)</f>
        <v>8.68</v>
      </c>
      <c r="V2">
        <f>VLOOKUP($B2,'[1]IA_database__entrenamiento _pru'!$B$1:$Y$592,21,0)</f>
        <v>0.26315789473684209</v>
      </c>
      <c r="W2">
        <f>VLOOKUP($B2,'[1]IA_database__entrenamiento _pru'!$B$1:$Y$592,22,0)</f>
        <v>0.31578947368421051</v>
      </c>
      <c r="X2">
        <f>VLOOKUP($B2,'[1]IA_database__entrenamiento _pru'!$B$1:$Y$592,23,0)</f>
        <v>0.42105263157894735</v>
      </c>
      <c r="Y2">
        <f>VLOOKUP($B2,'[1]IA_database__entrenamiento _pru'!$B$1:$Y$592,24,0)</f>
        <v>60</v>
      </c>
      <c r="Z2" t="s">
        <v>27</v>
      </c>
    </row>
    <row r="3" spans="1:26" x14ac:dyDescent="0.3">
      <c r="A3" t="str">
        <f t="shared" ref="A3:A9" si="0">C3&amp;"-"&amp;D3</f>
        <v>2024-Juarez</v>
      </c>
      <c r="B3" t="str">
        <f t="shared" ref="B3:B9" si="1">C3&amp;"-"&amp;G3</f>
        <v>2024-América</v>
      </c>
      <c r="C3">
        <v>2024</v>
      </c>
      <c r="D3" t="s">
        <v>30</v>
      </c>
      <c r="E3" t="s">
        <v>27</v>
      </c>
      <c r="F3" t="s">
        <v>27</v>
      </c>
      <c r="G3" t="s">
        <v>29</v>
      </c>
      <c r="H3" t="str">
        <f>VLOOKUP($A3,'[1]IA_database__entrenamiento _pru'!$A$2:$P$591,8,0)</f>
        <v>NULL</v>
      </c>
      <c r="I3" t="str">
        <f>VLOOKUP($A3,'[1]IA_database__entrenamiento _pru'!$A$2:$P$591,9,0)</f>
        <v>NULL</v>
      </c>
      <c r="J3" t="str">
        <f>VLOOKUP($A3,'[1]IA_database__entrenamiento _pru'!$A$2:$P$591,10,0)</f>
        <v>NULL</v>
      </c>
      <c r="K3" t="str">
        <f>VLOOKUP($A3,'[1]IA_database__entrenamiento _pru'!$A$2:$P$591,11,0)</f>
        <v>NULL</v>
      </c>
      <c r="L3" t="str">
        <f>VLOOKUP($A3,'[1]IA_database__entrenamiento _pru'!$A$2:$P$591,12,0)</f>
        <v>NULL</v>
      </c>
      <c r="M3">
        <f>VLOOKUP($A3,'[1]IA_database__entrenamiento _pru'!$A$2:$P$591,13,0)</f>
        <v>0.27777777777777779</v>
      </c>
      <c r="N3">
        <f>VLOOKUP($A3,'[1]IA_database__entrenamiento _pru'!$A$2:$P$591,14,0)</f>
        <v>0.33333333333333331</v>
      </c>
      <c r="O3">
        <f>VLOOKUP($A3,'[1]IA_database__entrenamiento _pru'!$A$2:$P$591,15,0)</f>
        <v>0.3888888888888889</v>
      </c>
      <c r="P3">
        <f>VLOOKUP($A3,'[1]IA_database__entrenamiento _pru'!$A$2:$P$591,16,0)</f>
        <v>55</v>
      </c>
      <c r="Q3">
        <f>VLOOKUP($B3,'[1]IA_database__entrenamiento _pru'!$B$1:$Y$592,16,0)</f>
        <v>92.45</v>
      </c>
      <c r="R3">
        <f>VLOOKUP($B3,'[1]IA_database__entrenamiento _pru'!$B$1:$Y$592,17,0)</f>
        <v>9.25</v>
      </c>
      <c r="S3">
        <f>VLOOKUP($B3,'[1]IA_database__entrenamiento _pru'!$B$1:$Y$592,18,0)</f>
        <v>27.73</v>
      </c>
      <c r="T3">
        <f>VLOOKUP($B3,'[1]IA_database__entrenamiento _pru'!$B$1:$Y$592,19,0)</f>
        <v>27.73</v>
      </c>
      <c r="U3">
        <f>VLOOKUP($B3,'[1]IA_database__entrenamiento _pru'!$B$1:$Y$592,20,0)</f>
        <v>27.73</v>
      </c>
      <c r="V3">
        <f>VLOOKUP($B3,'[1]IA_database__entrenamiento _pru'!$B$1:$Y$592,21,0)</f>
        <v>0.375</v>
      </c>
      <c r="W3">
        <f>VLOOKUP($B3,'[1]IA_database__entrenamiento _pru'!$B$1:$Y$592,22,0)</f>
        <v>0.29166666666666669</v>
      </c>
      <c r="X3">
        <f>VLOOKUP($B3,'[1]IA_database__entrenamiento _pru'!$B$1:$Y$592,23,0)</f>
        <v>0.33333333333333331</v>
      </c>
      <c r="Y3">
        <f>VLOOKUP($B3,'[1]IA_database__entrenamiento _pru'!$B$1:$Y$592,24,0)</f>
        <v>133</v>
      </c>
      <c r="Z3" t="s">
        <v>27</v>
      </c>
    </row>
    <row r="4" spans="1:26" x14ac:dyDescent="0.3">
      <c r="A4" t="str">
        <f t="shared" si="0"/>
        <v>2024-Xolos</v>
      </c>
      <c r="B4" t="str">
        <f t="shared" si="1"/>
        <v>2024-Querétaro</v>
      </c>
      <c r="C4">
        <v>2024</v>
      </c>
      <c r="D4" t="s">
        <v>31</v>
      </c>
      <c r="E4" t="s">
        <v>27</v>
      </c>
      <c r="F4" t="s">
        <v>27</v>
      </c>
      <c r="G4" t="s">
        <v>32</v>
      </c>
      <c r="H4" t="str">
        <f>VLOOKUP($A4,'[1]IA_database__entrenamiento _pru'!$A$2:$P$591,8,0)</f>
        <v>NULL</v>
      </c>
      <c r="I4" t="str">
        <f>VLOOKUP($A4,'[1]IA_database__entrenamiento _pru'!$A$2:$P$591,9,0)</f>
        <v>NULL</v>
      </c>
      <c r="J4" t="str">
        <f>VLOOKUP($A4,'[1]IA_database__entrenamiento _pru'!$A$2:$P$591,10,0)</f>
        <v>NULL</v>
      </c>
      <c r="K4" t="str">
        <f>VLOOKUP($A4,'[1]IA_database__entrenamiento _pru'!$A$2:$P$591,11,0)</f>
        <v>NULL</v>
      </c>
      <c r="L4" t="str">
        <f>VLOOKUP($A4,'[1]IA_database__entrenamiento _pru'!$A$2:$P$591,12,0)</f>
        <v>NULL</v>
      </c>
      <c r="M4">
        <f>VLOOKUP($A4,'[1]IA_database__entrenamiento _pru'!$A$2:$P$591,13,0)</f>
        <v>0.55000000000000004</v>
      </c>
      <c r="N4">
        <f>VLOOKUP($A4,'[1]IA_database__entrenamiento _pru'!$A$2:$P$591,14,0)</f>
        <v>0.15</v>
      </c>
      <c r="O4">
        <f>VLOOKUP($A4,'[1]IA_database__entrenamiento _pru'!$A$2:$P$591,15,0)</f>
        <v>0.3</v>
      </c>
      <c r="P4">
        <f>VLOOKUP($A4,'[1]IA_database__entrenamiento _pru'!$A$2:$P$591,16,0)</f>
        <v>49</v>
      </c>
      <c r="Q4" t="str">
        <f>VLOOKUP($B4,'[1]IA_database__entrenamiento _pru'!$B$1:$Y$592,16,0)</f>
        <v>NULL</v>
      </c>
      <c r="R4" t="str">
        <f>VLOOKUP($B4,'[1]IA_database__entrenamiento _pru'!$B$1:$Y$592,17,0)</f>
        <v>NULL</v>
      </c>
      <c r="S4" t="str">
        <f>VLOOKUP($B4,'[1]IA_database__entrenamiento _pru'!$B$1:$Y$592,18,0)</f>
        <v>NULL</v>
      </c>
      <c r="T4" t="str">
        <f>VLOOKUP($B4,'[1]IA_database__entrenamiento _pru'!$B$1:$Y$592,19,0)</f>
        <v>NULL</v>
      </c>
      <c r="U4" t="str">
        <f>VLOOKUP($B4,'[1]IA_database__entrenamiento _pru'!$B$1:$Y$592,20,0)</f>
        <v>NULL</v>
      </c>
      <c r="V4">
        <f>VLOOKUP($B4,'[1]IA_database__entrenamiento _pru'!$B$1:$Y$592,21,0)</f>
        <v>0.17647058823529413</v>
      </c>
      <c r="W4">
        <f>VLOOKUP($B4,'[1]IA_database__entrenamiento _pru'!$B$1:$Y$592,22,0)</f>
        <v>0.17647058823529413</v>
      </c>
      <c r="X4">
        <f>VLOOKUP($B4,'[1]IA_database__entrenamiento _pru'!$B$1:$Y$592,23,0)</f>
        <v>0.6470588235294118</v>
      </c>
      <c r="Y4">
        <f>VLOOKUP($B4,'[1]IA_database__entrenamiento _pru'!$B$1:$Y$592,24,0)</f>
        <v>64</v>
      </c>
      <c r="Z4" t="s">
        <v>27</v>
      </c>
    </row>
    <row r="5" spans="1:26" x14ac:dyDescent="0.3">
      <c r="A5" t="str">
        <f t="shared" si="0"/>
        <v>2024-Santos Laguna</v>
      </c>
      <c r="B5" t="str">
        <f t="shared" si="1"/>
        <v>2024-Pumas</v>
      </c>
      <c r="C5">
        <v>2024</v>
      </c>
      <c r="D5" t="s">
        <v>42</v>
      </c>
      <c r="E5" t="s">
        <v>27</v>
      </c>
      <c r="F5" t="s">
        <v>27</v>
      </c>
      <c r="G5" t="s">
        <v>26</v>
      </c>
      <c r="H5">
        <f>VLOOKUP($A5,'[1]IA_database__entrenamiento _pru'!$A$2:$P$591,8,0)</f>
        <v>35.9</v>
      </c>
      <c r="I5">
        <f>VLOOKUP($A5,'[1]IA_database__entrenamiento _pru'!$A$2:$P$591,9,0)</f>
        <v>3.59</v>
      </c>
      <c r="J5">
        <f>VLOOKUP($A5,'[1]IA_database__entrenamiento _pru'!$A$2:$P$591,10,0)</f>
        <v>10.77</v>
      </c>
      <c r="K5">
        <f>VLOOKUP($A5,'[1]IA_database__entrenamiento _pru'!$A$2:$P$591,11,0)</f>
        <v>10.77</v>
      </c>
      <c r="L5">
        <f>VLOOKUP($A5,'[1]IA_database__entrenamiento _pru'!$A$2:$P$591,12,0)</f>
        <v>10.77</v>
      </c>
      <c r="M5">
        <f>VLOOKUP($A5,'[1]IA_database__entrenamiento _pru'!$A$2:$P$591,13,0)</f>
        <v>0.23529411764705882</v>
      </c>
      <c r="N5">
        <f>VLOOKUP($A5,'[1]IA_database__entrenamiento _pru'!$A$2:$P$591,14,0)</f>
        <v>0.17647058823529413</v>
      </c>
      <c r="O5">
        <f>VLOOKUP($A5,'[1]IA_database__entrenamiento _pru'!$A$2:$P$591,15,0)</f>
        <v>0.58823529411764708</v>
      </c>
      <c r="P5">
        <f>VLOOKUP($A5,'[1]IA_database__entrenamiento _pru'!$A$2:$P$591,16,0)</f>
        <v>46</v>
      </c>
      <c r="Q5">
        <f>VLOOKUP($B5,'[1]IA_database__entrenamiento _pru'!$B$1:$Y$592,16,0)</f>
        <v>47.6</v>
      </c>
      <c r="R5">
        <f>VLOOKUP($B5,'[1]IA_database__entrenamiento _pru'!$B$1:$Y$592,17,0)</f>
        <v>4.76</v>
      </c>
      <c r="S5">
        <f>VLOOKUP($B5,'[1]IA_database__entrenamiento _pru'!$B$1:$Y$592,18,0)</f>
        <v>14.28</v>
      </c>
      <c r="T5">
        <f>VLOOKUP($B5,'[1]IA_database__entrenamiento _pru'!$B$1:$Y$592,19,0)</f>
        <v>14.28</v>
      </c>
      <c r="U5">
        <f>VLOOKUP($B5,'[1]IA_database__entrenamiento _pru'!$B$1:$Y$592,20,0)</f>
        <v>14.28</v>
      </c>
      <c r="V5">
        <f>VLOOKUP($B5,'[1]IA_database__entrenamiento _pru'!$B$1:$Y$592,21,0)</f>
        <v>0.3</v>
      </c>
      <c r="W5">
        <f>VLOOKUP($B5,'[1]IA_database__entrenamiento _pru'!$B$1:$Y$592,22,0)</f>
        <v>0.25</v>
      </c>
      <c r="X5">
        <f>VLOOKUP($B5,'[1]IA_database__entrenamiento _pru'!$B$1:$Y$592,23,0)</f>
        <v>0.45</v>
      </c>
      <c r="Y5">
        <f>VLOOKUP($B5,'[1]IA_database__entrenamiento _pru'!$B$1:$Y$592,24,0)</f>
        <v>75</v>
      </c>
      <c r="Z5" t="s">
        <v>27</v>
      </c>
    </row>
    <row r="6" spans="1:26" x14ac:dyDescent="0.3">
      <c r="A6" t="str">
        <f t="shared" si="0"/>
        <v>2024-Toluca</v>
      </c>
      <c r="B6" t="str">
        <f t="shared" si="1"/>
        <v>2024-Necaxa</v>
      </c>
      <c r="C6">
        <v>2024</v>
      </c>
      <c r="D6" t="s">
        <v>34</v>
      </c>
      <c r="E6" t="s">
        <v>27</v>
      </c>
      <c r="F6" t="s">
        <v>27</v>
      </c>
      <c r="G6" t="s">
        <v>35</v>
      </c>
      <c r="H6">
        <f>VLOOKUP($A6,'[1]IA_database__entrenamiento _pru'!$A$2:$P$591,8,0)</f>
        <v>77.45</v>
      </c>
      <c r="I6">
        <f>VLOOKUP($A6,'[1]IA_database__entrenamiento _pru'!$A$2:$P$591,9,0)</f>
        <v>7.75</v>
      </c>
      <c r="J6">
        <f>VLOOKUP($A6,'[1]IA_database__entrenamiento _pru'!$A$2:$P$591,10,0)</f>
        <v>23.24</v>
      </c>
      <c r="K6">
        <f>VLOOKUP($A6,'[1]IA_database__entrenamiento _pru'!$A$2:$P$591,11,0)</f>
        <v>23.24</v>
      </c>
      <c r="L6">
        <f>VLOOKUP($A6,'[1]IA_database__entrenamiento _pru'!$A$2:$P$591,12,0)</f>
        <v>23.24</v>
      </c>
      <c r="M6">
        <f>VLOOKUP($A6,'[1]IA_database__entrenamiento _pru'!$A$2:$P$591,13,0)</f>
        <v>0.76190476190476186</v>
      </c>
      <c r="N6">
        <f>VLOOKUP($A6,'[1]IA_database__entrenamiento _pru'!$A$2:$P$591,14,0)</f>
        <v>0.19047619047619047</v>
      </c>
      <c r="O6">
        <f>VLOOKUP($A6,'[1]IA_database__entrenamiento _pru'!$A$2:$P$591,15,0)</f>
        <v>4.7619047619047616E-2</v>
      </c>
      <c r="P6">
        <f>VLOOKUP($A6,'[1]IA_database__entrenamiento _pru'!$A$2:$P$591,16,0)</f>
        <v>118</v>
      </c>
      <c r="Q6">
        <f>VLOOKUP($B6,'[1]IA_database__entrenamiento _pru'!$B$1:$Y$592,16,0)</f>
        <v>38.5</v>
      </c>
      <c r="R6">
        <f>VLOOKUP($B6,'[1]IA_database__entrenamiento _pru'!$B$1:$Y$592,17,0)</f>
        <v>3.85</v>
      </c>
      <c r="S6">
        <f>VLOOKUP($B6,'[1]IA_database__entrenamiento _pru'!$B$1:$Y$592,18,0)</f>
        <v>11.55</v>
      </c>
      <c r="T6">
        <f>VLOOKUP($B6,'[1]IA_database__entrenamiento _pru'!$B$1:$Y$592,19,0)</f>
        <v>11.55</v>
      </c>
      <c r="U6">
        <f>VLOOKUP($B6,'[1]IA_database__entrenamiento _pru'!$B$1:$Y$592,20,0)</f>
        <v>11.55</v>
      </c>
      <c r="V6">
        <f>VLOOKUP($B6,'[1]IA_database__entrenamiento _pru'!$B$1:$Y$592,21,0)</f>
        <v>0.27777777777777779</v>
      </c>
      <c r="W6">
        <f>VLOOKUP($B6,'[1]IA_database__entrenamiento _pru'!$B$1:$Y$592,22,0)</f>
        <v>0.27777777777777779</v>
      </c>
      <c r="X6">
        <f>VLOOKUP($B6,'[1]IA_database__entrenamiento _pru'!$B$1:$Y$592,23,0)</f>
        <v>0.44444444444444442</v>
      </c>
      <c r="Y6">
        <f>VLOOKUP($B6,'[1]IA_database__entrenamiento _pru'!$B$1:$Y$592,24,0)</f>
        <v>77</v>
      </c>
      <c r="Z6" t="s">
        <v>27</v>
      </c>
    </row>
    <row r="7" spans="1:26" x14ac:dyDescent="0.3">
      <c r="A7" t="str">
        <f t="shared" si="0"/>
        <v>2024-Cruz Azul</v>
      </c>
      <c r="B7" t="str">
        <f t="shared" si="1"/>
        <v>2024-Mazatlán</v>
      </c>
      <c r="C7">
        <v>2024</v>
      </c>
      <c r="D7" t="s">
        <v>36</v>
      </c>
      <c r="E7" t="s">
        <v>27</v>
      </c>
      <c r="F7" t="s">
        <v>27</v>
      </c>
      <c r="G7" t="s">
        <v>37</v>
      </c>
      <c r="H7">
        <f>VLOOKUP($A7,'[1]IA_database__entrenamiento _pru'!$A$2:$P$591,8,0)</f>
        <v>78.849999999999994</v>
      </c>
      <c r="I7">
        <f>VLOOKUP($A7,'[1]IA_database__entrenamiento _pru'!$A$2:$P$591,9,0)</f>
        <v>7.89</v>
      </c>
      <c r="J7">
        <f>VLOOKUP($A7,'[1]IA_database__entrenamiento _pru'!$A$2:$P$591,10,0)</f>
        <v>23.66</v>
      </c>
      <c r="K7">
        <f>VLOOKUP($A7,'[1]IA_database__entrenamiento _pru'!$A$2:$P$591,11,0)</f>
        <v>23.66</v>
      </c>
      <c r="L7">
        <f>VLOOKUP($A7,'[1]IA_database__entrenamiento _pru'!$A$2:$P$591,12,0)</f>
        <v>23.66</v>
      </c>
      <c r="M7">
        <f>VLOOKUP($A7,'[1]IA_database__entrenamiento _pru'!$A$2:$P$591,13,0)</f>
        <v>0.7142857142857143</v>
      </c>
      <c r="N7">
        <f>VLOOKUP($A7,'[1]IA_database__entrenamiento _pru'!$A$2:$P$591,14,0)</f>
        <v>0.23809523809523808</v>
      </c>
      <c r="O7">
        <f>VLOOKUP($A7,'[1]IA_database__entrenamiento _pru'!$A$2:$P$591,15,0)</f>
        <v>4.7619047619047616E-2</v>
      </c>
      <c r="P7">
        <f>VLOOKUP($A7,'[1]IA_database__entrenamiento _pru'!$A$2:$P$591,16,0)</f>
        <v>107</v>
      </c>
      <c r="Q7">
        <f>VLOOKUP($B7,'[1]IA_database__entrenamiento _pru'!$B$1:$Y$592,16,0)</f>
        <v>31.45</v>
      </c>
      <c r="R7">
        <f>VLOOKUP($B7,'[1]IA_database__entrenamiento _pru'!$B$1:$Y$592,17,0)</f>
        <v>3.15</v>
      </c>
      <c r="S7">
        <f>VLOOKUP($B7,'[1]IA_database__entrenamiento _pru'!$B$1:$Y$592,18,0)</f>
        <v>9.44</v>
      </c>
      <c r="T7">
        <f>VLOOKUP($B7,'[1]IA_database__entrenamiento _pru'!$B$1:$Y$592,19,0)</f>
        <v>9.44</v>
      </c>
      <c r="U7">
        <f>VLOOKUP($B7,'[1]IA_database__entrenamiento _pru'!$B$1:$Y$592,20,0)</f>
        <v>9.44</v>
      </c>
      <c r="V7">
        <f>VLOOKUP($B7,'[1]IA_database__entrenamiento _pru'!$B$1:$Y$592,21,0)</f>
        <v>5.8823529411764705E-2</v>
      </c>
      <c r="W7">
        <f>VLOOKUP($B7,'[1]IA_database__entrenamiento _pru'!$B$1:$Y$592,22,0)</f>
        <v>0.29411764705882354</v>
      </c>
      <c r="X7">
        <f>VLOOKUP($B7,'[1]IA_database__entrenamiento _pru'!$B$1:$Y$592,23,0)</f>
        <v>0.6470588235294118</v>
      </c>
      <c r="Y7">
        <f>VLOOKUP($B7,'[1]IA_database__entrenamiento _pru'!$B$1:$Y$592,24,0)</f>
        <v>40</v>
      </c>
      <c r="Z7" t="s">
        <v>27</v>
      </c>
    </row>
    <row r="8" spans="1:26" x14ac:dyDescent="0.3">
      <c r="A8" t="str">
        <f t="shared" si="0"/>
        <v>2024-Pachuca</v>
      </c>
      <c r="B8" t="str">
        <f t="shared" si="1"/>
        <v>2024-Monterrey</v>
      </c>
      <c r="C8">
        <v>2024</v>
      </c>
      <c r="D8" t="s">
        <v>38</v>
      </c>
      <c r="E8" t="s">
        <v>27</v>
      </c>
      <c r="F8" t="s">
        <v>27</v>
      </c>
      <c r="G8" t="s">
        <v>39</v>
      </c>
      <c r="H8">
        <f>VLOOKUP($A8,'[1]IA_database__entrenamiento _pru'!$A$2:$P$591,8,0)</f>
        <v>56.6</v>
      </c>
      <c r="I8">
        <f>VLOOKUP($A8,'[1]IA_database__entrenamiento _pru'!$A$2:$P$591,9,0)</f>
        <v>5.66</v>
      </c>
      <c r="J8">
        <f>VLOOKUP($A8,'[1]IA_database__entrenamiento _pru'!$A$2:$P$591,10,0)</f>
        <v>16.98</v>
      </c>
      <c r="K8">
        <f>VLOOKUP($A8,'[1]IA_database__entrenamiento _pru'!$A$2:$P$591,11,0)</f>
        <v>16.98</v>
      </c>
      <c r="L8">
        <f>VLOOKUP($A8,'[1]IA_database__entrenamiento _pru'!$A$2:$P$591,12,0)</f>
        <v>16.98</v>
      </c>
      <c r="M8">
        <f>VLOOKUP($A8,'[1]IA_database__entrenamiento _pru'!$A$2:$P$591,13,0)</f>
        <v>0.3888888888888889</v>
      </c>
      <c r="N8">
        <f>VLOOKUP($A8,'[1]IA_database__entrenamiento _pru'!$A$2:$P$591,14,0)</f>
        <v>0.33333333333333331</v>
      </c>
      <c r="O8">
        <f>VLOOKUP($A8,'[1]IA_database__entrenamiento _pru'!$A$2:$P$591,15,0)</f>
        <v>0.27777777777777779</v>
      </c>
      <c r="P8">
        <f>VLOOKUP($A8,'[1]IA_database__entrenamiento _pru'!$A$2:$P$591,16,0)</f>
        <v>98</v>
      </c>
      <c r="Q8">
        <f>VLOOKUP($B8,'[1]IA_database__entrenamiento _pru'!$B$1:$Y$592,16,0)</f>
        <v>88.6</v>
      </c>
      <c r="R8">
        <f>VLOOKUP($B8,'[1]IA_database__entrenamiento _pru'!$B$1:$Y$592,17,0)</f>
        <v>8.86</v>
      </c>
      <c r="S8">
        <f>VLOOKUP($B8,'[1]IA_database__entrenamiento _pru'!$B$1:$Y$592,18,0)</f>
        <v>26.58</v>
      </c>
      <c r="T8">
        <f>VLOOKUP($B8,'[1]IA_database__entrenamiento _pru'!$B$1:$Y$592,19,0)</f>
        <v>26.58</v>
      </c>
      <c r="U8">
        <f>VLOOKUP($B8,'[1]IA_database__entrenamiento _pru'!$B$1:$Y$592,20,0)</f>
        <v>26.58</v>
      </c>
      <c r="V8">
        <f>VLOOKUP($B8,'[1]IA_database__entrenamiento _pru'!$B$1:$Y$592,21,0)</f>
        <v>0.38095238095238093</v>
      </c>
      <c r="W8">
        <f>VLOOKUP($B8,'[1]IA_database__entrenamiento _pru'!$B$1:$Y$592,22,0)</f>
        <v>0.23809523809523808</v>
      </c>
      <c r="X8">
        <f>VLOOKUP($B8,'[1]IA_database__entrenamiento _pru'!$B$1:$Y$592,23,0)</f>
        <v>0.38095238095238093</v>
      </c>
      <c r="Y8">
        <f>VLOOKUP($B8,'[1]IA_database__entrenamiento _pru'!$B$1:$Y$592,24,0)</f>
        <v>118</v>
      </c>
      <c r="Z8" t="s">
        <v>27</v>
      </c>
    </row>
    <row r="9" spans="1:26" x14ac:dyDescent="0.3">
      <c r="A9" t="str">
        <f t="shared" si="0"/>
        <v>2024-Chivas</v>
      </c>
      <c r="B9" t="str">
        <f t="shared" si="1"/>
        <v>2024-Tigres</v>
      </c>
      <c r="C9">
        <v>2024</v>
      </c>
      <c r="D9" t="s">
        <v>40</v>
      </c>
      <c r="E9" t="s">
        <v>27</v>
      </c>
      <c r="F9" t="s">
        <v>27</v>
      </c>
      <c r="G9" t="s">
        <v>41</v>
      </c>
      <c r="H9">
        <f>VLOOKUP($A9,'[1]IA_database__entrenamiento _pru'!$A$2:$P$591,8,0)</f>
        <v>70.2</v>
      </c>
      <c r="I9">
        <f>VLOOKUP($A9,'[1]IA_database__entrenamiento _pru'!$A$2:$P$591,9,0)</f>
        <v>7.02</v>
      </c>
      <c r="J9">
        <f>VLOOKUP($A9,'[1]IA_database__entrenamiento _pru'!$A$2:$P$591,10,0)</f>
        <v>21.06</v>
      </c>
      <c r="K9">
        <f>VLOOKUP($A9,'[1]IA_database__entrenamiento _pru'!$A$2:$P$591,11,0)</f>
        <v>21.06</v>
      </c>
      <c r="L9">
        <f>VLOOKUP($A9,'[1]IA_database__entrenamiento _pru'!$A$2:$P$591,12,0)</f>
        <v>21.06</v>
      </c>
      <c r="M9">
        <f>VLOOKUP($A9,'[1]IA_database__entrenamiento _pru'!$A$2:$P$591,13,0)</f>
        <v>0.44444444444444442</v>
      </c>
      <c r="N9">
        <f>VLOOKUP($A9,'[1]IA_database__entrenamiento _pru'!$A$2:$P$591,14,0)</f>
        <v>0.33333333333333331</v>
      </c>
      <c r="O9">
        <f>VLOOKUP($A9,'[1]IA_database__entrenamiento _pru'!$A$2:$P$591,15,0)</f>
        <v>0.22222222222222221</v>
      </c>
      <c r="P9">
        <f>VLOOKUP($A9,'[1]IA_database__entrenamiento _pru'!$A$2:$P$591,16,0)</f>
        <v>99</v>
      </c>
      <c r="Q9" t="str">
        <f>VLOOKUP($B9,'[1]IA_database__entrenamiento _pru'!$B$1:$Y$592,16,0)</f>
        <v>NULL</v>
      </c>
      <c r="R9" t="str">
        <f>VLOOKUP($B9,'[1]IA_database__entrenamiento _pru'!$B$1:$Y$592,17,0)</f>
        <v>NULL</v>
      </c>
      <c r="S9" t="str">
        <f>VLOOKUP($B9,'[1]IA_database__entrenamiento _pru'!$B$1:$Y$592,18,0)</f>
        <v>NULL</v>
      </c>
      <c r="T9" t="str">
        <f>VLOOKUP($B9,'[1]IA_database__entrenamiento _pru'!$B$1:$Y$592,19,0)</f>
        <v>NULL</v>
      </c>
      <c r="U9" t="str">
        <f>VLOOKUP($B9,'[1]IA_database__entrenamiento _pru'!$B$1:$Y$592,20,0)</f>
        <v>NULL</v>
      </c>
      <c r="V9">
        <f>VLOOKUP($B9,'[1]IA_database__entrenamiento _pru'!$B$1:$Y$592,21,0)</f>
        <v>0.3</v>
      </c>
      <c r="W9">
        <f>VLOOKUP($B9,'[1]IA_database__entrenamiento _pru'!$B$1:$Y$592,22,0)</f>
        <v>0.3</v>
      </c>
      <c r="X9">
        <f>VLOOKUP($B9,'[1]IA_database__entrenamiento _pru'!$B$1:$Y$592,23,0)</f>
        <v>0.4</v>
      </c>
      <c r="Y9">
        <f>VLOOKUP($B9,'[1]IA_database__entrenamiento _pru'!$B$1:$Y$592,24,0)</f>
        <v>107</v>
      </c>
      <c r="Z9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base_pronostico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2025-07-09T02:34:04Z</dcterms:created>
  <dcterms:modified xsi:type="dcterms:W3CDTF">2025-07-09T02:52:54Z</dcterms:modified>
</cp:coreProperties>
</file>